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na\Desktop\诉讼\02_庭审\提交律师\"/>
    </mc:Choice>
  </mc:AlternateContent>
  <xr:revisionPtr revIDLastSave="0" documentId="13_ncr:1_{124D5E18-8564-4CCF-B5C2-A28573A59562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汇总" sheetId="6" r:id="rId1"/>
    <sheet name="明细" sheetId="2" r:id="rId2"/>
    <sheet name="热水费明细" sheetId="3" r:id="rId3"/>
    <sheet name="物业费明细" sheetId="4" r:id="rId4"/>
  </sheets>
  <definedNames>
    <definedName name="_xlnm._FilterDatabase" localSheetId="1" hidden="1">明细!$A$1:$L$61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3" l="1"/>
  <c r="C45" i="3"/>
  <c r="C44" i="3"/>
  <c r="C43" i="3"/>
  <c r="C42" i="3"/>
  <c r="C41" i="3"/>
  <c r="C40" i="3"/>
  <c r="C39" i="3"/>
  <c r="C38" i="3"/>
  <c r="C37" i="3"/>
  <c r="D61" i="2"/>
  <c r="D59" i="2"/>
  <c r="D55" i="2"/>
  <c r="D51" i="2"/>
  <c r="C60" i="2"/>
  <c r="C58" i="2"/>
  <c r="C57" i="2"/>
  <c r="C56" i="2"/>
  <c r="C54" i="2"/>
  <c r="C53" i="2"/>
  <c r="C52" i="2"/>
  <c r="C50" i="2"/>
  <c r="C49" i="2"/>
  <c r="C48" i="2"/>
  <c r="C47" i="2"/>
  <c r="L47" i="2" s="1"/>
  <c r="C45" i="2"/>
  <c r="L45" i="2" s="1"/>
  <c r="C44" i="2"/>
  <c r="L44" i="2" s="1"/>
  <c r="C43" i="2"/>
  <c r="L43" i="2" s="1"/>
  <c r="C41" i="2"/>
  <c r="L41" i="2" s="1"/>
  <c r="C40" i="2"/>
  <c r="L40" i="2" s="1"/>
  <c r="C39" i="2"/>
  <c r="L39" i="2" s="1"/>
  <c r="C37" i="2"/>
  <c r="L37" i="2" s="1"/>
  <c r="C36" i="2"/>
  <c r="L36" i="2" s="1"/>
  <c r="C35" i="2"/>
  <c r="L35" i="2" s="1"/>
  <c r="C33" i="2"/>
  <c r="L33" i="2" s="1"/>
  <c r="C32" i="2"/>
  <c r="L32" i="2" s="1"/>
  <c r="C31" i="2"/>
  <c r="L31" i="2" s="1"/>
  <c r="C29" i="2"/>
  <c r="L29" i="2" s="1"/>
  <c r="C28" i="2"/>
  <c r="L28" i="2" s="1"/>
  <c r="C27" i="2"/>
  <c r="L27" i="2" s="1"/>
  <c r="C26" i="2"/>
  <c r="L26" i="2" s="1"/>
  <c r="C24" i="2"/>
  <c r="L24" i="2" s="1"/>
  <c r="C23" i="2"/>
  <c r="L23" i="2" s="1"/>
  <c r="C21" i="2"/>
  <c r="L21" i="2" s="1"/>
  <c r="C20" i="2"/>
  <c r="L20" i="2" s="1"/>
  <c r="C19" i="2"/>
  <c r="L19" i="2" s="1"/>
  <c r="C17" i="2"/>
  <c r="L17" i="2" s="1"/>
  <c r="C16" i="2"/>
  <c r="L16" i="2" s="1"/>
  <c r="C15" i="2"/>
  <c r="L15" i="2" s="1"/>
  <c r="C14" i="2"/>
  <c r="L14" i="2" s="1"/>
  <c r="C12" i="2"/>
  <c r="L12" i="2" s="1"/>
  <c r="C11" i="2"/>
  <c r="L11" i="2" s="1"/>
  <c r="C10" i="2"/>
  <c r="L10" i="2" s="1"/>
  <c r="C8" i="2"/>
  <c r="L8" i="2" s="1"/>
  <c r="C7" i="2"/>
  <c r="L7" i="2" s="1"/>
  <c r="C6" i="2"/>
  <c r="L6" i="2" s="1"/>
  <c r="C5" i="2"/>
  <c r="L5" i="2" s="1"/>
  <c r="C4" i="2"/>
  <c r="L4" i="2" s="1"/>
  <c r="C2" i="2"/>
  <c r="L2" i="2" s="1"/>
  <c r="F14" i="6"/>
  <c r="F13" i="6"/>
  <c r="F1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刘小妍</author>
  </authors>
  <commentList>
    <comment ref="F21" authorId="0" shapeId="0" xr:uid="{E062A4D9-6D43-4AAA-894C-35FB0C8B9F44}">
      <text>
        <r>
          <rPr>
            <b/>
            <sz val="9"/>
            <color indexed="81"/>
            <rFont val="宋体"/>
            <family val="3"/>
            <charset val="134"/>
          </rPr>
          <t>刘小妍:</t>
        </r>
        <r>
          <rPr>
            <sz val="9"/>
            <color indexed="81"/>
            <rFont val="宋体"/>
            <family val="3"/>
            <charset val="134"/>
          </rPr>
          <t xml:space="preserve">
39(1-2月)/42(3-12月)</t>
        </r>
      </text>
    </comment>
  </commentList>
</comments>
</file>

<file path=xl/sharedStrings.xml><?xml version="1.0" encoding="utf-8"?>
<sst xmlns="http://schemas.openxmlformats.org/spreadsheetml/2006/main" count="433" uniqueCount="113">
  <si>
    <t>序号</t>
  </si>
  <si>
    <t>交易时间</t>
  </si>
  <si>
    <t>热水用量</t>
  </si>
  <si>
    <t>金额 (元)</t>
  </si>
  <si>
    <t>摘要/商品描述</t>
  </si>
  <si>
    <t>服务区间</t>
  </si>
  <si>
    <t>所属年份</t>
  </si>
  <si>
    <t>支付频次</t>
  </si>
  <si>
    <t>实际单价
(元/吨)</t>
  </si>
  <si>
    <t>合理单价
剔除人工+节能费
(元/吨)</t>
  </si>
  <si>
    <t>差额
(元/吨)</t>
  </si>
  <si>
    <t>应退差额
(元)</t>
  </si>
  <si>
    <t>热水费</t>
  </si>
  <si>
    <t>2018.9-10</t>
  </si>
  <si>
    <t>每两月付</t>
  </si>
  <si>
    <t>物业费</t>
  </si>
  <si>
    <t>2019.1-6</t>
  </si>
  <si>
    <t>半年付（预付）</t>
  </si>
  <si>
    <t>2018.11-12</t>
  </si>
  <si>
    <t>2019.1-2</t>
  </si>
  <si>
    <t>2019.3-4</t>
  </si>
  <si>
    <t>2019.5-6</t>
  </si>
  <si>
    <t>2019.7-8</t>
  </si>
  <si>
    <t>2019.7-12</t>
  </si>
  <si>
    <t>半年付</t>
  </si>
  <si>
    <t>2019.9-10</t>
  </si>
  <si>
    <t>2019.11-12</t>
  </si>
  <si>
    <t>2020.1-2</t>
  </si>
  <si>
    <t>2020.1-6</t>
  </si>
  <si>
    <t>2020.3-4</t>
  </si>
  <si>
    <t>2020.5-6</t>
  </si>
  <si>
    <t>2020.7-8</t>
  </si>
  <si>
    <t>2020.9-10</t>
  </si>
  <si>
    <t>2020.7-12</t>
  </si>
  <si>
    <t>2020.11-12</t>
  </si>
  <si>
    <t>2021.1-2</t>
  </si>
  <si>
    <t>2021.3-4</t>
  </si>
  <si>
    <t>2021.1-6</t>
  </si>
  <si>
    <t>2021.5-6</t>
  </si>
  <si>
    <t>2021.7-8</t>
  </si>
  <si>
    <t>2021.7-12</t>
  </si>
  <si>
    <t>2021.9-10</t>
  </si>
  <si>
    <t>2021.11-12</t>
  </si>
  <si>
    <t>2022.1-2</t>
  </si>
  <si>
    <t>2022.3-4</t>
  </si>
  <si>
    <t>2022.1-6</t>
  </si>
  <si>
    <t>2022.5-6</t>
  </si>
  <si>
    <t>2022.7-8</t>
  </si>
  <si>
    <t>2022.9-10</t>
  </si>
  <si>
    <t>2022.7-12</t>
  </si>
  <si>
    <t>2022.11-12</t>
  </si>
  <si>
    <t>2023.1-2</t>
  </si>
  <si>
    <t>2023.3-4</t>
  </si>
  <si>
    <t>2023.1-6</t>
  </si>
  <si>
    <t>2023.5-6</t>
  </si>
  <si>
    <t>2023.7-8</t>
  </si>
  <si>
    <t>2023.9-10</t>
  </si>
  <si>
    <t>2023.7-12</t>
  </si>
  <si>
    <t>2023.11-12</t>
  </si>
  <si>
    <t>2024.1-2</t>
  </si>
  <si>
    <t>2024.3-4</t>
  </si>
  <si>
    <t>2024.1-6</t>
  </si>
  <si>
    <t>2024.5-6</t>
  </si>
  <si>
    <t>求和项:金额 (元)</t>
  </si>
  <si>
    <t>列标签</t>
  </si>
  <si>
    <t>行标签</t>
  </si>
  <si>
    <t>总计</t>
  </si>
  <si>
    <t>热水用量(吨)</t>
  </si>
  <si>
    <t>实际单价(元/吨)</t>
  </si>
  <si>
    <t>合理单价-剔除人工+节能费(元/吨)</t>
  </si>
  <si>
    <t>差额(元/吨)</t>
  </si>
  <si>
    <t>应退差额(元)</t>
  </si>
  <si>
    <t>退费计算公式（计算方法一）</t>
  </si>
  <si>
    <t>1. 全小区每吨人工成本 = 全小区人工成本总额 ÷ 全小区热水用量</t>
  </si>
  <si>
    <t>2. 全小区每吨节能费 = 全小区节能费分摊总额 ÷ 全小区热水用量</t>
  </si>
  <si>
    <t>3. 应计热水合理单价 = 实际收费单价 - 每吨人工成本 - 每吨节能费</t>
  </si>
  <si>
    <t>4. 应退差额 = 差额 × 原告热水用量（吨）</t>
  </si>
  <si>
    <t>数据来源：全小区成本数据取自被告提供的2018-2024年热水成本分摊表</t>
  </si>
  <si>
    <t>合计应退差额：3053.04元（单倍）</t>
  </si>
  <si>
    <t>双倍返还（依据合同第24条）：6106.08元</t>
  </si>
  <si>
    <t>2024.7-8</t>
    <phoneticPr fontId="1" type="noConversion"/>
  </si>
  <si>
    <t>2024.9-10</t>
    <phoneticPr fontId="1" type="noConversion"/>
  </si>
  <si>
    <t>2024.11-12</t>
    <phoneticPr fontId="1" type="noConversion"/>
  </si>
  <si>
    <t>2025.1-2</t>
    <phoneticPr fontId="1" type="noConversion"/>
  </si>
  <si>
    <t>2025.3-4</t>
    <phoneticPr fontId="1" type="noConversion"/>
  </si>
  <si>
    <t>2025.5-6</t>
    <phoneticPr fontId="1" type="noConversion"/>
  </si>
  <si>
    <t>2025.7-8</t>
    <phoneticPr fontId="1" type="noConversion"/>
  </si>
  <si>
    <t>2025.9-10</t>
    <phoneticPr fontId="1" type="noConversion"/>
  </si>
  <si>
    <t>2025.11-12</t>
    <phoneticPr fontId="1" type="noConversion"/>
  </si>
  <si>
    <t>2026.1</t>
    <phoneticPr fontId="1" type="noConversion"/>
  </si>
  <si>
    <t>2026/1/15拆表催缴</t>
    <phoneticPr fontId="1" type="noConversion"/>
  </si>
  <si>
    <t>热水费</t>
    <phoneticPr fontId="1" type="noConversion"/>
  </si>
  <si>
    <t>物业费</t>
    <phoneticPr fontId="1" type="noConversion"/>
  </si>
  <si>
    <t>2024.7-12</t>
    <phoneticPr fontId="1" type="noConversion"/>
  </si>
  <si>
    <t>2025.1-6</t>
    <phoneticPr fontId="1" type="noConversion"/>
  </si>
  <si>
    <t>2025.7-12</t>
    <phoneticPr fontId="1" type="noConversion"/>
  </si>
  <si>
    <t>2026.1-4</t>
    <phoneticPr fontId="1" type="noConversion"/>
  </si>
  <si>
    <t>诉讼缓缴</t>
    <phoneticPr fontId="1" type="noConversion"/>
  </si>
  <si>
    <t>未到支付期</t>
    <phoneticPr fontId="1" type="noConversion"/>
  </si>
  <si>
    <t>正常缴纳</t>
  </si>
  <si>
    <t>正常缴纳</t>
    <phoneticPr fontId="1" type="noConversion"/>
  </si>
  <si>
    <t>热水费退费计算</t>
    <phoneticPr fontId="1" type="noConversion"/>
  </si>
  <si>
    <t>属性</t>
    <phoneticPr fontId="1" type="noConversion"/>
  </si>
  <si>
    <t>(多项)</t>
  </si>
  <si>
    <t>诉讼缓缴（含拆表催缴+未到缴费日）</t>
  </si>
  <si>
    <t>缓缴总计*</t>
    <phoneticPr fontId="1" type="noConversion"/>
  </si>
  <si>
    <t xml:space="preserve">*截至2026.4.30 </t>
    <phoneticPr fontId="1" type="noConversion"/>
  </si>
  <si>
    <t>3053.04*</t>
    <phoneticPr fontId="1" type="noConversion"/>
  </si>
  <si>
    <t>*差异原因：退费表2022全年按42元统一折算，实际1-2月仍执行39元，导致按月拆分的用量和退费各多出0.5吨/11.48元。</t>
    <phoneticPr fontId="1" type="noConversion"/>
  </si>
  <si>
    <t xml:space="preserve">
</t>
    <phoneticPr fontId="1" type="noConversion"/>
  </si>
  <si>
    <t>*按实际单价计算</t>
    <phoneticPr fontId="1" type="noConversion"/>
  </si>
  <si>
    <t>未到支付日</t>
    <phoneticPr fontId="1" type="noConversion"/>
  </si>
  <si>
    <t>已正常缴纳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</si>
</sst>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0" xfId="0" pivotButton="1">
      <alignment vertical="center"/>
    </xf>
    <xf numFmtId="176" fontId="0" fillId="0" borderId="0" xfId="0" applyNumberFormat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0" xfId="0" applyAlignment="1"/>
    <xf numFmtId="2" fontId="0" fillId="0" borderId="0" xfId="0" applyNumberFormat="1" applyAlignment="1"/>
    <xf numFmtId="2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left" vertical="center" wrapText="1"/>
    </xf>
    <xf numFmtId="176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3" borderId="2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176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/>
    <xf numFmtId="14" fontId="0" fillId="4" borderId="0" xfId="0" applyNumberFormat="1" applyFill="1" applyAlignment="1">
      <alignment horizontal="left" vertical="center"/>
    </xf>
    <xf numFmtId="176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/>
    <xf numFmtId="14" fontId="0" fillId="4" borderId="0" xfId="0" applyNumberFormat="1" applyFill="1" applyAlignment="1"/>
    <xf numFmtId="0" fontId="5" fillId="4" borderId="0" xfId="0" applyFont="1" applyFill="1">
      <alignment vertical="center"/>
    </xf>
    <xf numFmtId="17" fontId="0" fillId="4" borderId="0" xfId="0" quotePrefix="1" applyNumberFormat="1" applyFill="1">
      <alignment vertical="center"/>
    </xf>
    <xf numFmtId="0" fontId="0" fillId="2" borderId="0" xfId="0" applyFill="1" applyAlignment="1"/>
    <xf numFmtId="0" fontId="6" fillId="0" borderId="0" xfId="0" applyFont="1">
      <alignment vertical="center"/>
    </xf>
    <xf numFmtId="0" fontId="0" fillId="5" borderId="0" xfId="0" applyFill="1" applyAlignment="1"/>
    <xf numFmtId="0" fontId="0" fillId="5" borderId="0" xfId="0" applyFill="1">
      <alignment vertical="center"/>
    </xf>
    <xf numFmtId="0" fontId="4" fillId="3" borderId="0" xfId="0" applyFont="1" applyFill="1">
      <alignment vertical="center"/>
    </xf>
    <xf numFmtId="0" fontId="0" fillId="5" borderId="0" xfId="0" applyFill="1" applyAlignment="1">
      <alignment vertical="center" wrapText="1"/>
    </xf>
    <xf numFmtId="0" fontId="4" fillId="3" borderId="3" xfId="0" applyFont="1" applyFill="1" applyBorder="1">
      <alignment vertic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vertical="center" wrapText="1"/>
    </xf>
    <xf numFmtId="0" fontId="6" fillId="4" borderId="0" xfId="0" applyFont="1" applyFill="1">
      <alignment vertical="center"/>
    </xf>
    <xf numFmtId="14" fontId="5" fillId="4" borderId="0" xfId="0" applyNumberFormat="1" applyFont="1" applyFill="1" applyAlignment="1">
      <alignment horizontal="left" vertical="center" wrapText="1"/>
    </xf>
    <xf numFmtId="0" fontId="0" fillId="0" borderId="0" xfId="0" applyNumberFormat="1">
      <alignment vertical="center"/>
    </xf>
  </cellXfs>
  <cellStyles count="1">
    <cellStyle name="常规" xfId="0" builtinId="0"/>
  </cellStyles>
  <dxfs count="4">
    <dxf>
      <fill>
        <patternFill patternType="solid">
          <bgColor rgb="FFFFC000"/>
        </patternFill>
      </fill>
    </dxf>
    <dxf>
      <alignment wrapText="1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刘小妍" refreshedDate="46158.613534837961" createdVersion="8" refreshedVersion="8" minRefreshableVersion="3" recordCount="61" xr:uid="{76CA4E47-3F62-4133-BAD4-B2B13747FB48}">
  <cacheSource type="worksheet">
    <worksheetSource ref="A1:L1048576" sheet="明细"/>
  </cacheSource>
  <cacheFields count="12">
    <cacheField name="序号" numFmtId="0">
      <sharedItems containsString="0" containsBlank="1" containsNumber="1" containsInteger="1" minValue="1" maxValue="60"/>
    </cacheField>
    <cacheField name="交易时间" numFmtId="14">
      <sharedItems containsDate="1" containsBlank="1" containsMixedTypes="1" minDate="2018-11-17T00:00:00" maxDate="2024-07-17T00:00:00"/>
    </cacheField>
    <cacheField name="热水用量" numFmtId="176">
      <sharedItems containsString="0" containsBlank="1" containsNumber="1" minValue="1" maxValue="7"/>
    </cacheField>
    <cacheField name="金额 (元)" numFmtId="0">
      <sharedItems containsString="0" containsBlank="1" containsNumber="1" minValue="42" maxValue="972.90000000000009"/>
    </cacheField>
    <cacheField name="摘要/商品描述" numFmtId="0">
      <sharedItems containsBlank="1" count="3">
        <s v="热水费"/>
        <s v="物业费"/>
        <m/>
      </sharedItems>
    </cacheField>
    <cacheField name="服务区间" numFmtId="0">
      <sharedItems containsBlank="1"/>
    </cacheField>
    <cacheField name="所属年份" numFmtId="0">
      <sharedItems containsString="0" containsBlank="1" containsNumber="1" containsInteger="1" minValue="2018" maxValue="2026" count="10">
        <n v="2018"/>
        <n v="2019"/>
        <n v="2020"/>
        <n v="2021"/>
        <n v="2022"/>
        <n v="2023"/>
        <n v="2024"/>
        <n v="2025"/>
        <n v="2026"/>
        <m/>
      </sharedItems>
    </cacheField>
    <cacheField name="属性" numFmtId="0">
      <sharedItems containsBlank="1" count="4">
        <s v="正常缴纳"/>
        <s v="诉讼缓缴"/>
        <s v="未到支付期"/>
        <m/>
      </sharedItems>
    </cacheField>
    <cacheField name="实际单价_x000a_(元/吨)" numFmtId="0">
      <sharedItems containsString="0" containsBlank="1" containsNumber="1" containsInteger="1" minValue="39" maxValue="42"/>
    </cacheField>
    <cacheField name="合理单价_x000a_剔除人工+节能费_x000a_(元/吨)" numFmtId="0">
      <sharedItems containsString="0" containsBlank="1" containsNumber="1" minValue="12.04441756561115" maxValue="20.456512453679139"/>
    </cacheField>
    <cacheField name="差额_x000a_(元/吨)" numFmtId="0">
      <sharedItems containsString="0" containsBlank="1" containsNumber="1" minValue="18.543487546320861" maxValue="26.955582434388852"/>
    </cacheField>
    <cacheField name="应退差额_x000a_(元)" numFmtId="0">
      <sharedItems containsString="0" containsBlank="1" containsNumber="1" minValue="23.043162306812309" maxValue="161.733494606333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1"/>
    <d v="2018-11-17T00:00:00"/>
    <n v="2"/>
    <n v="78"/>
    <x v="0"/>
    <s v="2018.9-10"/>
    <x v="0"/>
    <x v="0"/>
    <n v="39"/>
    <n v="20.456512453679139"/>
    <n v="18.543487546320861"/>
    <n v="37.086975092641723"/>
  </r>
  <r>
    <n v="2"/>
    <d v="2019-01-03T00:00:00"/>
    <m/>
    <n v="875.4"/>
    <x v="1"/>
    <s v="2019.1-6"/>
    <x v="1"/>
    <x v="0"/>
    <m/>
    <m/>
    <m/>
    <m/>
  </r>
  <r>
    <n v="3"/>
    <d v="2019-01-14T00:00:00"/>
    <n v="5"/>
    <n v="195"/>
    <x v="0"/>
    <s v="2018.11-12"/>
    <x v="0"/>
    <x v="0"/>
    <n v="39"/>
    <n v="20.456512453679139"/>
    <n v="18.543487546320861"/>
    <n v="92.717437731604306"/>
  </r>
  <r>
    <n v="4"/>
    <d v="2019-03-12T00:00:00"/>
    <n v="4"/>
    <n v="156"/>
    <x v="0"/>
    <s v="2019.1-2"/>
    <x v="1"/>
    <x v="0"/>
    <n v="39"/>
    <n v="18.007694987328161"/>
    <n v="20.992305012671839"/>
    <n v="83.969220050687355"/>
  </r>
  <r>
    <n v="5"/>
    <d v="2019-05-13T00:00:00"/>
    <n v="5"/>
    <n v="195"/>
    <x v="0"/>
    <s v="2019.3-4"/>
    <x v="1"/>
    <x v="0"/>
    <n v="39"/>
    <n v="18.007694987328161"/>
    <n v="20.992305012671839"/>
    <n v="104.96152506335919"/>
  </r>
  <r>
    <n v="6"/>
    <d v="2019-07-15T00:00:00"/>
    <n v="3"/>
    <n v="117"/>
    <x v="0"/>
    <s v="2019.5-6"/>
    <x v="1"/>
    <x v="0"/>
    <n v="39"/>
    <n v="18.007694987328161"/>
    <n v="20.992305012671839"/>
    <n v="62.97691503801552"/>
  </r>
  <r>
    <n v="7"/>
    <d v="2019-09-18T00:00:00"/>
    <n v="3"/>
    <n v="117"/>
    <x v="0"/>
    <s v="2019.7-8"/>
    <x v="1"/>
    <x v="0"/>
    <n v="39"/>
    <n v="18.007694987328161"/>
    <n v="20.992305012671839"/>
    <n v="62.97691503801552"/>
  </r>
  <r>
    <n v="8"/>
    <d v="2019-11-13T00:00:00"/>
    <m/>
    <n v="875.4"/>
    <x v="1"/>
    <s v="2019.7-12"/>
    <x v="1"/>
    <x v="0"/>
    <m/>
    <m/>
    <m/>
    <m/>
  </r>
  <r>
    <n v="9"/>
    <d v="2019-11-13T00:00:00"/>
    <n v="3"/>
    <n v="117"/>
    <x v="0"/>
    <s v="2019.9-10"/>
    <x v="1"/>
    <x v="0"/>
    <n v="39"/>
    <n v="18.007694987328161"/>
    <n v="20.992305012671839"/>
    <n v="62.97691503801552"/>
  </r>
  <r>
    <n v="10"/>
    <d v="2020-01-15T00:00:00"/>
    <n v="4"/>
    <n v="156"/>
    <x v="0"/>
    <s v="2019.11-12"/>
    <x v="1"/>
    <x v="0"/>
    <n v="39"/>
    <n v="18.007694987328161"/>
    <n v="20.992305012671839"/>
    <n v="83.969220050687355"/>
  </r>
  <r>
    <n v="11"/>
    <d v="2020-03-22T00:00:00"/>
    <n v="4"/>
    <n v="156"/>
    <x v="0"/>
    <s v="2020.1-2"/>
    <x v="2"/>
    <x v="0"/>
    <n v="39"/>
    <n v="19.46950319050676"/>
    <n v="19.53049680949324"/>
    <n v="78.121987237972959"/>
  </r>
  <r>
    <n v="12"/>
    <d v="2020-04-09T00:00:00"/>
    <m/>
    <n v="875.4"/>
    <x v="1"/>
    <s v="2020.1-6"/>
    <x v="2"/>
    <x v="0"/>
    <m/>
    <m/>
    <m/>
    <m/>
  </r>
  <r>
    <n v="13"/>
    <d v="2020-05-24T00:00:00"/>
    <n v="2"/>
    <n v="78"/>
    <x v="0"/>
    <s v="2020.3-4"/>
    <x v="2"/>
    <x v="0"/>
    <n v="39"/>
    <n v="19.46950319050676"/>
    <n v="19.53049680949324"/>
    <n v="39.06099361898648"/>
  </r>
  <r>
    <n v="14"/>
    <d v="2020-07-14T00:00:00"/>
    <n v="4"/>
    <n v="156"/>
    <x v="0"/>
    <s v="2020.5-6"/>
    <x v="2"/>
    <x v="0"/>
    <n v="39"/>
    <n v="19.46950319050676"/>
    <n v="19.53049680949324"/>
    <n v="78.121987237972959"/>
  </r>
  <r>
    <n v="15"/>
    <d v="2020-09-16T00:00:00"/>
    <n v="3"/>
    <n v="117"/>
    <x v="0"/>
    <s v="2020.7-8"/>
    <x v="2"/>
    <x v="0"/>
    <n v="39"/>
    <n v="19.46950319050676"/>
    <n v="19.53049680949324"/>
    <n v="58.591490428479716"/>
  </r>
  <r>
    <n v="16"/>
    <d v="2020-11-07T00:00:00"/>
    <n v="3"/>
    <n v="117"/>
    <x v="0"/>
    <s v="2020.9-10"/>
    <x v="2"/>
    <x v="0"/>
    <n v="39"/>
    <n v="19.46950319050676"/>
    <n v="19.53049680949324"/>
    <n v="58.591490428479716"/>
  </r>
  <r>
    <n v="17"/>
    <d v="2020-11-11T00:00:00"/>
    <m/>
    <n v="875.4"/>
    <x v="1"/>
    <s v="2020.7-12"/>
    <x v="2"/>
    <x v="0"/>
    <m/>
    <m/>
    <m/>
    <m/>
  </r>
  <r>
    <n v="18"/>
    <d v="2021-01-12T00:00:00"/>
    <n v="6"/>
    <n v="234"/>
    <x v="0"/>
    <s v="2020.11-12"/>
    <x v="2"/>
    <x v="0"/>
    <n v="39"/>
    <n v="19.46950319050676"/>
    <n v="19.53049680949324"/>
    <n v="117.18298085695943"/>
  </r>
  <r>
    <n v="19"/>
    <d v="2021-03-13T00:00:00"/>
    <n v="5"/>
    <n v="195"/>
    <x v="0"/>
    <s v="2021.1-2"/>
    <x v="3"/>
    <x v="0"/>
    <n v="39"/>
    <n v="12.04441756561115"/>
    <n v="26.955582434388852"/>
    <n v="134.77791217194425"/>
  </r>
  <r>
    <n v="20"/>
    <d v="2021-05-12T00:00:00"/>
    <n v="5"/>
    <n v="195"/>
    <x v="0"/>
    <s v="2021.3-4"/>
    <x v="3"/>
    <x v="0"/>
    <n v="39"/>
    <n v="12.04441756561115"/>
    <n v="26.955582434388852"/>
    <n v="134.77791217194425"/>
  </r>
  <r>
    <n v="21"/>
    <d v="2021-05-22T00:00:00"/>
    <m/>
    <n v="875.4"/>
    <x v="1"/>
    <s v="2021.1-6"/>
    <x v="3"/>
    <x v="0"/>
    <m/>
    <m/>
    <m/>
    <m/>
  </r>
  <r>
    <n v="22"/>
    <d v="2021-07-13T00:00:00"/>
    <n v="5"/>
    <n v="195"/>
    <x v="0"/>
    <s v="2021.5-6"/>
    <x v="3"/>
    <x v="0"/>
    <n v="39"/>
    <n v="12.04441756561115"/>
    <n v="26.955582434388852"/>
    <n v="134.77791217194425"/>
  </r>
  <r>
    <n v="23"/>
    <d v="2021-09-14T00:00:00"/>
    <n v="4"/>
    <n v="156"/>
    <x v="0"/>
    <s v="2021.7-8"/>
    <x v="3"/>
    <x v="0"/>
    <n v="39"/>
    <n v="12.04441756561115"/>
    <n v="26.955582434388852"/>
    <n v="107.82232973755541"/>
  </r>
  <r>
    <n v="24"/>
    <d v="2021-11-12T00:00:00"/>
    <m/>
    <n v="875.4"/>
    <x v="1"/>
    <s v="2021.7-12"/>
    <x v="3"/>
    <x v="0"/>
    <m/>
    <m/>
    <m/>
    <m/>
  </r>
  <r>
    <n v="25"/>
    <d v="2021-11-12T00:00:00"/>
    <n v="3"/>
    <n v="117"/>
    <x v="0"/>
    <s v="2021.9-10"/>
    <x v="3"/>
    <x v="0"/>
    <n v="39"/>
    <n v="12.04441756561115"/>
    <n v="26.955582434388852"/>
    <n v="80.866747303166562"/>
  </r>
  <r>
    <n v="26"/>
    <d v="2022-01-15T00:00:00"/>
    <n v="6"/>
    <n v="234"/>
    <x v="0"/>
    <s v="2021.11-12"/>
    <x v="3"/>
    <x v="0"/>
    <n v="39"/>
    <n v="12.04441756561115"/>
    <n v="26.955582434388852"/>
    <n v="161.73349460633312"/>
  </r>
  <r>
    <n v="27"/>
    <d v="2022-03-12T00:00:00"/>
    <n v="7"/>
    <n v="273"/>
    <x v="0"/>
    <s v="2022.1-2"/>
    <x v="4"/>
    <x v="0"/>
    <n v="39"/>
    <n v="15.96"/>
    <n v="23.04"/>
    <n v="161.28"/>
  </r>
  <r>
    <n v="28"/>
    <d v="2022-05-06T00:00:00"/>
    <n v="5"/>
    <n v="210"/>
    <x v="0"/>
    <s v="2022.3-4"/>
    <x v="4"/>
    <x v="0"/>
    <n v="42"/>
    <n v="18.956837693187691"/>
    <n v="23.043162306812309"/>
    <n v="115.21581153406154"/>
  </r>
  <r>
    <n v="29"/>
    <d v="2022-06-11T00:00:00"/>
    <m/>
    <n v="875.4"/>
    <x v="1"/>
    <s v="2022.1-6"/>
    <x v="4"/>
    <x v="0"/>
    <m/>
    <m/>
    <m/>
    <m/>
  </r>
  <r>
    <n v="30"/>
    <d v="2022-07-13T00:00:00"/>
    <n v="4"/>
    <n v="168"/>
    <x v="0"/>
    <s v="2022.5-6"/>
    <x v="4"/>
    <x v="0"/>
    <n v="42"/>
    <n v="18.956837693187691"/>
    <n v="23.043162306812309"/>
    <n v="92.172649227249238"/>
  </r>
  <r>
    <n v="31"/>
    <d v="2022-09-09T00:00:00"/>
    <n v="1"/>
    <n v="42"/>
    <x v="0"/>
    <s v="2022.7-8"/>
    <x v="4"/>
    <x v="0"/>
    <n v="42"/>
    <n v="18.956837693187691"/>
    <n v="23.043162306812309"/>
    <n v="23.043162306812309"/>
  </r>
  <r>
    <n v="32"/>
    <d v="2022-11-07T00:00:00"/>
    <n v="2.9988095238095238"/>
    <n v="125.95"/>
    <x v="0"/>
    <s v="2022.9-10"/>
    <x v="4"/>
    <x v="0"/>
    <n v="42"/>
    <n v="18.956837693187691"/>
    <n v="23.043162306812309"/>
    <n v="69.10205458435739"/>
  </r>
  <r>
    <n v="33"/>
    <d v="2022-11-07T00:00:00"/>
    <m/>
    <n v="875.32"/>
    <x v="1"/>
    <s v="2022.7-12"/>
    <x v="4"/>
    <x v="0"/>
    <m/>
    <m/>
    <m/>
    <m/>
  </r>
  <r>
    <n v="34"/>
    <d v="2023-01-19T00:00:00"/>
    <n v="4"/>
    <n v="168"/>
    <x v="0"/>
    <s v="2022.11-12"/>
    <x v="4"/>
    <x v="0"/>
    <n v="42"/>
    <n v="18.956837693187691"/>
    <n v="23.043162306812309"/>
    <n v="92.172649227249238"/>
  </r>
  <r>
    <n v="35"/>
    <d v="2023-03-12T00:00:00"/>
    <n v="4"/>
    <n v="168"/>
    <x v="0"/>
    <s v="2023.1-2"/>
    <x v="5"/>
    <x v="0"/>
    <n v="42"/>
    <n v="17.81077428945607"/>
    <n v="24.18922571054393"/>
    <n v="96.75690284217572"/>
  </r>
  <r>
    <n v="36"/>
    <d v="2023-05-21T00:00:00"/>
    <n v="5"/>
    <n v="210"/>
    <x v="0"/>
    <s v="2023.3-4"/>
    <x v="5"/>
    <x v="0"/>
    <n v="42"/>
    <n v="17.81077428945607"/>
    <n v="24.18922571054393"/>
    <n v="120.94612855271964"/>
  </r>
  <r>
    <n v="37"/>
    <d v="2023-06-12T00:00:00"/>
    <m/>
    <n v="875.4"/>
    <x v="1"/>
    <s v="2023.1-6"/>
    <x v="5"/>
    <x v="0"/>
    <m/>
    <m/>
    <m/>
    <m/>
  </r>
  <r>
    <n v="38"/>
    <d v="2023-07-11T00:00:00"/>
    <n v="2"/>
    <n v="84"/>
    <x v="0"/>
    <s v="2023.5-6"/>
    <x v="5"/>
    <x v="0"/>
    <n v="42"/>
    <n v="17.81077428945607"/>
    <n v="24.18922571054393"/>
    <n v="48.37845142108786"/>
  </r>
  <r>
    <n v="39"/>
    <d v="2023-09-14T00:00:00"/>
    <n v="1"/>
    <n v="42"/>
    <x v="0"/>
    <s v="2023.7-8"/>
    <x v="5"/>
    <x v="0"/>
    <n v="42"/>
    <n v="17.81077428945607"/>
    <n v="24.18922571054393"/>
    <n v="24.18922571054393"/>
  </r>
  <r>
    <n v="40"/>
    <d v="2023-11-11T00:00:00"/>
    <n v="2"/>
    <n v="84"/>
    <x v="0"/>
    <s v="2023.9-10"/>
    <x v="5"/>
    <x v="0"/>
    <n v="42"/>
    <n v="17.81077428945607"/>
    <n v="24.18922571054393"/>
    <n v="48.37845142108786"/>
  </r>
  <r>
    <n v="41"/>
    <d v="2023-11-11T00:00:00"/>
    <m/>
    <n v="875.4"/>
    <x v="1"/>
    <s v="2023.7-12"/>
    <x v="5"/>
    <x v="0"/>
    <m/>
    <m/>
    <m/>
    <m/>
  </r>
  <r>
    <n v="42"/>
    <d v="2024-01-11T00:00:00"/>
    <n v="4"/>
    <n v="168"/>
    <x v="0"/>
    <s v="2023.11-12"/>
    <x v="5"/>
    <x v="0"/>
    <n v="42"/>
    <n v="17.81077428945607"/>
    <n v="24.18922571054393"/>
    <n v="96.75690284217572"/>
  </r>
  <r>
    <n v="43"/>
    <d v="2024-03-13T00:00:00"/>
    <n v="4"/>
    <n v="168"/>
    <x v="0"/>
    <s v="2024.1-2"/>
    <x v="6"/>
    <x v="0"/>
    <n v="42"/>
    <n v="17.951184049385969"/>
    <n v="24.048815950614031"/>
    <n v="96.195263802456125"/>
  </r>
  <r>
    <n v="44"/>
    <d v="2024-05-18T00:00:00"/>
    <n v="5"/>
    <n v="210"/>
    <x v="0"/>
    <s v="2024.3-4"/>
    <x v="6"/>
    <x v="0"/>
    <n v="42"/>
    <n v="17.951184049385969"/>
    <n v="24.048815950614031"/>
    <n v="120.24407975307015"/>
  </r>
  <r>
    <n v="45"/>
    <d v="2024-05-18T00:00:00"/>
    <m/>
    <n v="924.3"/>
    <x v="1"/>
    <s v="2024.1-6"/>
    <x v="6"/>
    <x v="0"/>
    <m/>
    <m/>
    <m/>
    <m/>
  </r>
  <r>
    <n v="46"/>
    <d v="2024-07-16T00:00:00"/>
    <n v="3"/>
    <n v="126"/>
    <x v="0"/>
    <s v="2024.5-6"/>
    <x v="6"/>
    <x v="0"/>
    <n v="42"/>
    <n v="17.951184049385969"/>
    <n v="24.048815950614031"/>
    <n v="72.146447851842098"/>
  </r>
  <r>
    <n v="47"/>
    <s v="2026/1/15拆表催缴"/>
    <n v="2"/>
    <n v="84"/>
    <x v="0"/>
    <s v="2024.7-8"/>
    <x v="6"/>
    <x v="1"/>
    <n v="42"/>
    <m/>
    <m/>
    <m/>
  </r>
  <r>
    <n v="48"/>
    <m/>
    <n v="2"/>
    <n v="84"/>
    <x v="0"/>
    <s v="2024.9-10"/>
    <x v="6"/>
    <x v="1"/>
    <n v="42"/>
    <m/>
    <m/>
    <m/>
  </r>
  <r>
    <n v="49"/>
    <m/>
    <n v="3"/>
    <n v="126"/>
    <x v="0"/>
    <s v="2024.11-12"/>
    <x v="6"/>
    <x v="1"/>
    <n v="42"/>
    <m/>
    <m/>
    <m/>
  </r>
  <r>
    <n v="50"/>
    <m/>
    <m/>
    <n v="972.90000000000009"/>
    <x v="1"/>
    <s v="2024.7-12"/>
    <x v="6"/>
    <x v="1"/>
    <m/>
    <m/>
    <m/>
    <m/>
  </r>
  <r>
    <n v="51"/>
    <m/>
    <n v="3"/>
    <n v="126"/>
    <x v="0"/>
    <s v="2025.1-2"/>
    <x v="7"/>
    <x v="1"/>
    <n v="42"/>
    <m/>
    <m/>
    <m/>
  </r>
  <r>
    <n v="52"/>
    <m/>
    <n v="3"/>
    <n v="126"/>
    <x v="0"/>
    <s v="2025.3-4"/>
    <x v="7"/>
    <x v="1"/>
    <n v="42"/>
    <m/>
    <m/>
    <m/>
  </r>
  <r>
    <n v="53"/>
    <m/>
    <n v="3"/>
    <n v="126"/>
    <x v="0"/>
    <s v="2025.5-6"/>
    <x v="7"/>
    <x v="1"/>
    <n v="42"/>
    <m/>
    <m/>
    <m/>
  </r>
  <r>
    <n v="54"/>
    <m/>
    <m/>
    <n v="875.61"/>
    <x v="1"/>
    <s v="2025.1-6"/>
    <x v="7"/>
    <x v="1"/>
    <m/>
    <m/>
    <m/>
    <m/>
  </r>
  <r>
    <n v="55"/>
    <m/>
    <n v="2"/>
    <n v="84"/>
    <x v="0"/>
    <s v="2025.7-8"/>
    <x v="7"/>
    <x v="1"/>
    <n v="42"/>
    <m/>
    <m/>
    <m/>
  </r>
  <r>
    <n v="56"/>
    <m/>
    <n v="2"/>
    <n v="84"/>
    <x v="0"/>
    <s v="2025.9-10"/>
    <x v="7"/>
    <x v="1"/>
    <n v="42"/>
    <m/>
    <m/>
    <m/>
  </r>
  <r>
    <n v="57"/>
    <m/>
    <n v="3"/>
    <n v="126"/>
    <x v="0"/>
    <s v="2025.11-12"/>
    <x v="7"/>
    <x v="1"/>
    <n v="42"/>
    <m/>
    <m/>
    <m/>
  </r>
  <r>
    <n v="58"/>
    <m/>
    <m/>
    <n v="875.61"/>
    <x v="1"/>
    <s v="2025.7-12"/>
    <x v="7"/>
    <x v="1"/>
    <m/>
    <m/>
    <m/>
    <m/>
  </r>
  <r>
    <n v="59"/>
    <m/>
    <n v="4"/>
    <n v="168"/>
    <x v="0"/>
    <s v="2026.1"/>
    <x v="8"/>
    <x v="1"/>
    <n v="42"/>
    <m/>
    <m/>
    <m/>
  </r>
  <r>
    <n v="60"/>
    <m/>
    <m/>
    <n v="583.74"/>
    <x v="1"/>
    <s v="2026.1-4"/>
    <x v="8"/>
    <x v="2"/>
    <m/>
    <m/>
    <m/>
    <m/>
  </r>
  <r>
    <m/>
    <m/>
    <m/>
    <m/>
    <x v="2"/>
    <m/>
    <x v="9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42EC2-B749-41C9-9CF5-AE16D0446153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1:E15" firstHeaderRow="1" firstDataRow="2" firstDataCol="1" rowPageCount="1" colPageCount="1"/>
  <pivotFields count="12"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诉讼缓缴（含拆表催缴+未到缴费日）" axis="axisPage" multipleItemSelectionAllowed="1" showAll="0">
      <items count="5">
        <item x="1"/>
        <item x="2"/>
        <item h="1" x="0"/>
        <item h="1"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6"/>
  </colFields>
  <colItems count="4">
    <i>
      <x v="6"/>
    </i>
    <i>
      <x v="7"/>
    </i>
    <i>
      <x v="8"/>
    </i>
    <i t="grand">
      <x/>
    </i>
  </colItems>
  <pageFields count="1">
    <pageField fld="7" hier="-1"/>
  </pageFields>
  <dataFields count="1">
    <dataField name="求和项:金额 (元)" fld="3" baseField="0" baseItem="0"/>
  </dataFields>
  <formats count="2">
    <format dxfId="2">
      <pivotArea field="7" type="button" dataOnly="0" labelOnly="1" outline="0" axis="axisPage" fieldPosition="0"/>
    </format>
    <format dxfId="1">
      <pivotArea field="7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984F6-DEA4-447E-A868-B9EECD00501B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12"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已正常缴纳"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7" item="2" hier="-1"/>
  </pageFields>
  <dataFields count="1">
    <dataField name="求和项:金额 (元)" fld="3" baseField="0" baseItem="0"/>
  </dataFields>
  <formats count="1">
    <format dxfId="3">
      <pivotArea field="7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734E-8ECA-4D38-90C1-BE2DE54C998F}">
  <dimension ref="A1:J34"/>
  <sheetViews>
    <sheetView tabSelected="1" workbookViewId="0">
      <selection activeCell="F13" sqref="F13"/>
    </sheetView>
  </sheetViews>
  <sheetFormatPr defaultRowHeight="14.1"/>
  <cols>
    <col min="1" max="1" width="14.44921875" bestFit="1" customWidth="1"/>
    <col min="2" max="2" width="10.3984375" bestFit="1" customWidth="1"/>
    <col min="3" max="5" width="7.296875" bestFit="1" customWidth="1"/>
    <col min="6" max="6" width="8.34765625" bestFit="1" customWidth="1"/>
    <col min="7" max="8" width="7.296875" bestFit="1" customWidth="1"/>
    <col min="9" max="9" width="9.3984375" bestFit="1" customWidth="1"/>
    <col min="10" max="10" width="7.296875" bestFit="1" customWidth="1"/>
    <col min="11" max="11" width="5.8984375" bestFit="1" customWidth="1"/>
    <col min="12" max="12" width="9.3984375" bestFit="1" customWidth="1"/>
  </cols>
  <sheetData>
    <row r="1" spans="1:10">
      <c r="A1" s="36" t="s">
        <v>112</v>
      </c>
      <c r="B1" t="s">
        <v>99</v>
      </c>
    </row>
    <row r="3" spans="1:10">
      <c r="A3" s="9" t="s">
        <v>63</v>
      </c>
      <c r="B3" s="9" t="s">
        <v>64</v>
      </c>
    </row>
    <row r="4" spans="1:10">
      <c r="A4" s="9" t="s">
        <v>65</v>
      </c>
      <c r="B4">
        <v>2018</v>
      </c>
      <c r="C4">
        <v>2019</v>
      </c>
      <c r="D4">
        <v>2020</v>
      </c>
      <c r="E4">
        <v>2021</v>
      </c>
      <c r="F4">
        <v>2022</v>
      </c>
      <c r="G4">
        <v>2023</v>
      </c>
      <c r="H4">
        <v>2024</v>
      </c>
      <c r="I4" t="s">
        <v>66</v>
      </c>
    </row>
    <row r="5" spans="1:10">
      <c r="A5" s="2" t="s">
        <v>12</v>
      </c>
      <c r="B5" s="44">
        <v>273</v>
      </c>
      <c r="C5" s="44">
        <v>858</v>
      </c>
      <c r="D5" s="44">
        <v>858</v>
      </c>
      <c r="E5" s="44">
        <v>1092</v>
      </c>
      <c r="F5" s="44">
        <v>986.95</v>
      </c>
      <c r="G5" s="44">
        <v>756</v>
      </c>
      <c r="H5" s="44">
        <v>504</v>
      </c>
      <c r="I5" s="44">
        <v>5327.95</v>
      </c>
    </row>
    <row r="6" spans="1:10">
      <c r="A6" s="2" t="s">
        <v>15</v>
      </c>
      <c r="B6" s="44"/>
      <c r="C6" s="44">
        <v>1750.8</v>
      </c>
      <c r="D6" s="44">
        <v>1750.8</v>
      </c>
      <c r="E6" s="44">
        <v>1750.8</v>
      </c>
      <c r="F6" s="44">
        <v>1750.72</v>
      </c>
      <c r="G6" s="44">
        <v>1750.8</v>
      </c>
      <c r="H6" s="44">
        <v>924.3</v>
      </c>
      <c r="I6" s="44">
        <v>9678.2199999999993</v>
      </c>
    </row>
    <row r="7" spans="1:10">
      <c r="A7" s="2" t="s">
        <v>66</v>
      </c>
      <c r="B7" s="44">
        <v>273</v>
      </c>
      <c r="C7" s="44">
        <v>2608.8000000000002</v>
      </c>
      <c r="D7" s="44">
        <v>2608.8000000000002</v>
      </c>
      <c r="E7" s="44">
        <v>2842.8</v>
      </c>
      <c r="F7" s="44">
        <v>2737.67</v>
      </c>
      <c r="G7" s="44">
        <v>2506.8000000000002</v>
      </c>
      <c r="H7" s="44">
        <v>1428.3</v>
      </c>
      <c r="I7" s="44">
        <v>15006.169999999998</v>
      </c>
    </row>
    <row r="8" spans="1:10">
      <c r="A8" s="2"/>
    </row>
    <row r="9" spans="1:10" ht="46.8" customHeight="1">
      <c r="A9" s="38" t="s">
        <v>104</v>
      </c>
      <c r="B9" t="s">
        <v>103</v>
      </c>
    </row>
    <row r="11" spans="1:10">
      <c r="A11" s="9" t="s">
        <v>63</v>
      </c>
      <c r="B11" s="9" t="s">
        <v>64</v>
      </c>
    </row>
    <row r="12" spans="1:10">
      <c r="A12" s="9" t="s">
        <v>65</v>
      </c>
      <c r="B12">
        <v>2024</v>
      </c>
      <c r="C12">
        <v>2025</v>
      </c>
      <c r="D12">
        <v>2026</v>
      </c>
      <c r="E12" t="s">
        <v>66</v>
      </c>
      <c r="F12" s="37" t="s">
        <v>105</v>
      </c>
    </row>
    <row r="13" spans="1:10">
      <c r="A13" s="2" t="s">
        <v>12</v>
      </c>
      <c r="B13">
        <v>294</v>
      </c>
      <c r="C13">
        <v>672</v>
      </c>
      <c r="D13">
        <v>168</v>
      </c>
      <c r="E13">
        <v>1134</v>
      </c>
      <c r="F13">
        <f>GETPIVOTDATA("金额 (元)",$A$11,"摘要/商品描述","热水费")-GETPIVOTDATA("金额 (元)",$A$11,"摘要/商品描述","热水费","所属年份",2024)</f>
        <v>840</v>
      </c>
    </row>
    <row r="14" spans="1:10">
      <c r="A14" s="2" t="s">
        <v>15</v>
      </c>
      <c r="B14">
        <v>972.90000000000009</v>
      </c>
      <c r="C14">
        <v>1751.22</v>
      </c>
      <c r="D14">
        <v>583.74</v>
      </c>
      <c r="E14">
        <v>3307.8599999999997</v>
      </c>
      <c r="F14">
        <f>GETPIVOTDATA("金额 (元)",$A$11,"摘要/商品描述","物业费")-GETPIVOTDATA("金额 (元)",$A$11,"摘要/商品描述","物业费","所属年份",2026)</f>
        <v>2724.12</v>
      </c>
    </row>
    <row r="15" spans="1:10">
      <c r="A15" s="2" t="s">
        <v>66</v>
      </c>
      <c r="B15">
        <v>1266.9000000000001</v>
      </c>
      <c r="C15">
        <v>2423.2200000000003</v>
      </c>
      <c r="D15">
        <v>751.74</v>
      </c>
      <c r="E15">
        <v>4441.8599999999997</v>
      </c>
      <c r="F15" s="39">
        <f>F13+F14</f>
        <v>3564.12</v>
      </c>
      <c r="H15" t="s">
        <v>106</v>
      </c>
    </row>
    <row r="16" spans="1:10" ht="14.1" customHeight="1">
      <c r="G16" s="41" t="s">
        <v>109</v>
      </c>
      <c r="H16" t="s">
        <v>110</v>
      </c>
      <c r="I16" s="41"/>
      <c r="J16" s="41"/>
    </row>
    <row r="18" spans="1:9">
      <c r="A18" s="35" t="s">
        <v>101</v>
      </c>
      <c r="B18" s="12"/>
      <c r="C18" s="12"/>
      <c r="D18" s="12"/>
      <c r="E18" s="12"/>
      <c r="F18" s="12"/>
      <c r="G18" s="12"/>
      <c r="H18" s="12"/>
      <c r="I18" s="12"/>
    </row>
    <row r="19" spans="1:9">
      <c r="A19" s="12"/>
      <c r="B19" s="19">
        <v>2018</v>
      </c>
      <c r="C19" s="19">
        <v>2019</v>
      </c>
      <c r="D19" s="19">
        <v>2020</v>
      </c>
      <c r="E19" s="19">
        <v>2021</v>
      </c>
      <c r="F19" s="19">
        <v>2022</v>
      </c>
      <c r="G19" s="19">
        <v>2023</v>
      </c>
      <c r="H19" s="19">
        <v>2024</v>
      </c>
      <c r="I19" s="19" t="s">
        <v>66</v>
      </c>
    </row>
    <row r="20" spans="1:9">
      <c r="A20" t="s">
        <v>67</v>
      </c>
      <c r="B20">
        <v>7</v>
      </c>
      <c r="C20">
        <v>22</v>
      </c>
      <c r="D20">
        <v>22</v>
      </c>
      <c r="E20">
        <v>28</v>
      </c>
      <c r="F20">
        <v>24</v>
      </c>
      <c r="G20">
        <v>18</v>
      </c>
      <c r="H20">
        <v>12</v>
      </c>
      <c r="I20">
        <v>133</v>
      </c>
    </row>
    <row r="21" spans="1:9">
      <c r="A21" t="s">
        <v>68</v>
      </c>
      <c r="B21">
        <v>39</v>
      </c>
      <c r="C21">
        <v>39</v>
      </c>
      <c r="D21">
        <v>39</v>
      </c>
      <c r="E21">
        <v>39</v>
      </c>
      <c r="F21">
        <v>39</v>
      </c>
      <c r="G21">
        <v>42</v>
      </c>
      <c r="H21">
        <v>42</v>
      </c>
      <c r="I21" s="12"/>
    </row>
    <row r="22" spans="1:9">
      <c r="A22" t="s">
        <v>69</v>
      </c>
      <c r="B22" s="13">
        <v>20.456512453679139</v>
      </c>
      <c r="C22" s="13">
        <v>18.007694987328161</v>
      </c>
      <c r="D22" s="13">
        <v>19.46950319050676</v>
      </c>
      <c r="E22" s="13">
        <v>12.04441756561115</v>
      </c>
      <c r="F22" s="13">
        <v>18.956837693187691</v>
      </c>
      <c r="G22" s="13">
        <v>17.81077428945607</v>
      </c>
      <c r="H22" s="13">
        <v>17.951184049385969</v>
      </c>
      <c r="I22" s="12"/>
    </row>
    <row r="23" spans="1:9">
      <c r="A23" t="s">
        <v>70</v>
      </c>
      <c r="B23" s="13">
        <v>18.543487546320861</v>
      </c>
      <c r="C23" s="13">
        <v>20.992305012671839</v>
      </c>
      <c r="D23" s="13">
        <v>19.53049680949324</v>
      </c>
      <c r="E23" s="13">
        <v>26.955582434388852</v>
      </c>
      <c r="F23" s="13">
        <v>23.043162306812309</v>
      </c>
      <c r="G23" s="13">
        <v>24.18922571054393</v>
      </c>
      <c r="H23" s="13">
        <v>24.048815950614031</v>
      </c>
      <c r="I23" s="12"/>
    </row>
    <row r="24" spans="1:9">
      <c r="A24" t="s">
        <v>71</v>
      </c>
      <c r="B24" s="13">
        <v>129.80000000000001</v>
      </c>
      <c r="C24" s="13">
        <v>461.83</v>
      </c>
      <c r="D24" s="13">
        <v>429.67</v>
      </c>
      <c r="E24" s="13">
        <v>754.76</v>
      </c>
      <c r="F24" s="13">
        <v>552.99</v>
      </c>
      <c r="G24" s="13">
        <v>435.41</v>
      </c>
      <c r="H24" s="13">
        <v>288.58999999999997</v>
      </c>
      <c r="I24" s="40" t="s">
        <v>107</v>
      </c>
    </row>
    <row r="26" spans="1:9">
      <c r="A26" t="s">
        <v>72</v>
      </c>
      <c r="B26" s="12"/>
      <c r="C26" s="12"/>
      <c r="D26" s="12"/>
      <c r="E26" s="12"/>
      <c r="F26" s="12"/>
      <c r="G26" s="12"/>
      <c r="H26" s="12"/>
      <c r="I26" s="12"/>
    </row>
    <row r="27" spans="1:9">
      <c r="A27" t="s">
        <v>73</v>
      </c>
      <c r="B27" s="12"/>
      <c r="C27" s="12"/>
      <c r="D27" s="12"/>
      <c r="E27" s="12"/>
      <c r="F27" s="12"/>
      <c r="G27" s="12"/>
      <c r="H27" s="12"/>
      <c r="I27" s="12"/>
    </row>
    <row r="28" spans="1:9">
      <c r="A28" t="s">
        <v>74</v>
      </c>
      <c r="B28" s="12"/>
      <c r="C28" s="12"/>
      <c r="D28" s="12"/>
      <c r="E28" s="12"/>
      <c r="F28" s="12"/>
      <c r="G28" s="12"/>
      <c r="H28" s="12"/>
      <c r="I28" s="12"/>
    </row>
    <row r="29" spans="1:9">
      <c r="A29" t="s">
        <v>75</v>
      </c>
      <c r="B29" s="12"/>
      <c r="C29" s="12"/>
      <c r="D29" s="12"/>
      <c r="E29" s="12"/>
      <c r="F29" s="12"/>
      <c r="G29" s="12"/>
      <c r="H29" s="12"/>
      <c r="I29" s="12"/>
    </row>
    <row r="30" spans="1:9">
      <c r="A30" t="s">
        <v>76</v>
      </c>
      <c r="B30" s="12"/>
      <c r="C30" s="12"/>
      <c r="D30" s="12"/>
      <c r="E30" s="12"/>
      <c r="F30" s="12"/>
      <c r="G30" s="12"/>
      <c r="H30" s="12"/>
      <c r="I30" s="12"/>
    </row>
    <row r="31" spans="1:9">
      <c r="A31" t="s">
        <v>77</v>
      </c>
      <c r="B31" s="12"/>
      <c r="C31" s="12"/>
      <c r="D31" s="12"/>
      <c r="E31" s="12"/>
      <c r="F31" s="12"/>
      <c r="G31" s="12"/>
      <c r="H31" s="12"/>
      <c r="I31" s="12"/>
    </row>
    <row r="32" spans="1:9">
      <c r="A32" t="s">
        <v>78</v>
      </c>
      <c r="B32" s="12"/>
      <c r="C32" s="12"/>
      <c r="D32" s="12"/>
      <c r="E32" s="12"/>
      <c r="F32" s="12"/>
      <c r="G32" s="12"/>
      <c r="H32" s="12"/>
      <c r="I32" s="12"/>
    </row>
    <row r="33" spans="1:9">
      <c r="A33" t="s">
        <v>79</v>
      </c>
      <c r="B33" s="12"/>
      <c r="C33" s="12"/>
      <c r="D33" s="12"/>
      <c r="E33" s="12"/>
      <c r="F33" s="12"/>
      <c r="G33" s="12"/>
      <c r="H33" s="12"/>
      <c r="I33" s="12"/>
    </row>
    <row r="34" spans="1:9">
      <c r="A34" t="s">
        <v>108</v>
      </c>
      <c r="B34" s="12"/>
      <c r="C34" s="12"/>
      <c r="D34" s="12"/>
      <c r="E34" s="12"/>
      <c r="F34" s="12"/>
      <c r="G34" s="12"/>
      <c r="H34" s="12"/>
      <c r="I34" s="12"/>
    </row>
  </sheetData>
  <phoneticPr fontId="1" type="noConversion"/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>
      <pane ySplit="1" topLeftCell="A31" activePane="bottomLeft" state="frozen"/>
      <selection pane="bottomLeft" activeCell="J9" sqref="J9"/>
    </sheetView>
  </sheetViews>
  <sheetFormatPr defaultRowHeight="14.1"/>
  <cols>
    <col min="1" max="1" width="4.59765625" style="1" bestFit="1" customWidth="1"/>
    <col min="2" max="2" width="10.34765625" style="3" bestFit="1" customWidth="1"/>
    <col min="3" max="3" width="6.84765625" style="10" customWidth="1"/>
    <col min="4" max="4" width="12.6484375" style="1" customWidth="1"/>
    <col min="5" max="5" width="16.44921875" style="12" bestFit="1" customWidth="1"/>
    <col min="6" max="6" width="13.84765625" style="12" customWidth="1"/>
    <col min="7" max="7" width="13.84765625" style="1" customWidth="1"/>
    <col min="8" max="8" width="13.84765625" style="12" customWidth="1"/>
    <col min="9" max="9" width="6.94921875" style="12" customWidth="1"/>
    <col min="10" max="10" width="13.8984375" style="12" customWidth="1"/>
  </cols>
  <sheetData>
    <row r="1" spans="1:12" s="20" customFormat="1" ht="46.8" customHeight="1">
      <c r="A1" s="20" t="s">
        <v>0</v>
      </c>
      <c r="B1" s="21" t="s">
        <v>1</v>
      </c>
      <c r="C1" s="22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102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>
      <c r="A2" s="1">
        <v>1</v>
      </c>
      <c r="B2" s="3">
        <v>43421</v>
      </c>
      <c r="C2" s="10">
        <f>D2/39</f>
        <v>2</v>
      </c>
      <c r="D2" s="1">
        <v>78</v>
      </c>
      <c r="E2" t="s">
        <v>12</v>
      </c>
      <c r="F2" t="s">
        <v>13</v>
      </c>
      <c r="G2" s="1">
        <v>2018</v>
      </c>
      <c r="H2" t="s">
        <v>100</v>
      </c>
      <c r="I2">
        <v>39</v>
      </c>
      <c r="J2" s="13">
        <v>20.456512453679139</v>
      </c>
      <c r="K2" s="13">
        <v>18.543487546320861</v>
      </c>
      <c r="L2" s="13">
        <f>C2*K2</f>
        <v>37.086975092641723</v>
      </c>
    </row>
    <row r="3" spans="1:12">
      <c r="A3" s="1">
        <v>2</v>
      </c>
      <c r="B3" s="3">
        <v>43468</v>
      </c>
      <c r="D3" s="1">
        <v>875.4</v>
      </c>
      <c r="E3" s="4" t="s">
        <v>15</v>
      </c>
      <c r="F3" t="s">
        <v>16</v>
      </c>
      <c r="G3" s="1">
        <v>2019</v>
      </c>
      <c r="H3" t="s">
        <v>100</v>
      </c>
    </row>
    <row r="4" spans="1:12">
      <c r="A4" s="1">
        <v>3</v>
      </c>
      <c r="B4" s="3">
        <v>43479</v>
      </c>
      <c r="C4" s="10">
        <f>D4/39</f>
        <v>5</v>
      </c>
      <c r="D4" s="1">
        <v>195</v>
      </c>
      <c r="E4" t="s">
        <v>12</v>
      </c>
      <c r="F4" t="s">
        <v>18</v>
      </c>
      <c r="G4" s="1">
        <v>2018</v>
      </c>
      <c r="H4" t="s">
        <v>100</v>
      </c>
      <c r="I4">
        <v>39</v>
      </c>
      <c r="J4" s="13">
        <v>20.456512453679139</v>
      </c>
      <c r="K4" s="13">
        <v>18.543487546320861</v>
      </c>
      <c r="L4" s="14">
        <f>C4*K4</f>
        <v>92.717437731604306</v>
      </c>
    </row>
    <row r="5" spans="1:12">
      <c r="A5" s="1">
        <v>4</v>
      </c>
      <c r="B5" s="3">
        <v>43536</v>
      </c>
      <c r="C5" s="10">
        <f>D5/39</f>
        <v>4</v>
      </c>
      <c r="D5" s="1">
        <v>156</v>
      </c>
      <c r="E5" t="s">
        <v>12</v>
      </c>
      <c r="F5" t="s">
        <v>19</v>
      </c>
      <c r="G5" s="1">
        <v>2019</v>
      </c>
      <c r="H5" t="s">
        <v>100</v>
      </c>
      <c r="I5">
        <v>39</v>
      </c>
      <c r="J5" s="13">
        <v>18.007694987328161</v>
      </c>
      <c r="K5" s="13">
        <v>20.992305012671839</v>
      </c>
      <c r="L5" s="14">
        <f>C5*K5</f>
        <v>83.969220050687355</v>
      </c>
    </row>
    <row r="6" spans="1:12">
      <c r="A6" s="1">
        <v>5</v>
      </c>
      <c r="B6" s="3">
        <v>43598</v>
      </c>
      <c r="C6" s="10">
        <f>D6/39</f>
        <v>5</v>
      </c>
      <c r="D6" s="1">
        <v>195</v>
      </c>
      <c r="E6" t="s">
        <v>12</v>
      </c>
      <c r="F6" t="s">
        <v>20</v>
      </c>
      <c r="G6" s="1">
        <v>2019</v>
      </c>
      <c r="H6" t="s">
        <v>100</v>
      </c>
      <c r="I6">
        <v>39</v>
      </c>
      <c r="J6" s="13">
        <v>18.007694987328161</v>
      </c>
      <c r="K6" s="13">
        <v>20.992305012671839</v>
      </c>
      <c r="L6" s="13">
        <f>C6*K6</f>
        <v>104.96152506335919</v>
      </c>
    </row>
    <row r="7" spans="1:12">
      <c r="A7" s="1">
        <v>6</v>
      </c>
      <c r="B7" s="3">
        <v>43661</v>
      </c>
      <c r="C7" s="10">
        <f>D7/39</f>
        <v>3</v>
      </c>
      <c r="D7" s="1">
        <v>117</v>
      </c>
      <c r="E7" t="s">
        <v>12</v>
      </c>
      <c r="F7" t="s">
        <v>21</v>
      </c>
      <c r="G7" s="1">
        <v>2019</v>
      </c>
      <c r="H7" t="s">
        <v>100</v>
      </c>
      <c r="I7">
        <v>39</v>
      </c>
      <c r="J7" s="13">
        <v>18.007694987328161</v>
      </c>
      <c r="K7" s="13">
        <v>20.992305012671839</v>
      </c>
      <c r="L7" s="13">
        <f>C7*K7</f>
        <v>62.97691503801552</v>
      </c>
    </row>
    <row r="8" spans="1:12">
      <c r="A8" s="1">
        <v>7</v>
      </c>
      <c r="B8" s="3">
        <v>43726</v>
      </c>
      <c r="C8" s="10">
        <f>D8/39</f>
        <v>3</v>
      </c>
      <c r="D8" s="1">
        <v>117</v>
      </c>
      <c r="E8" t="s">
        <v>12</v>
      </c>
      <c r="F8" t="s">
        <v>22</v>
      </c>
      <c r="G8" s="1">
        <v>2019</v>
      </c>
      <c r="H8" t="s">
        <v>100</v>
      </c>
      <c r="I8">
        <v>39</v>
      </c>
      <c r="J8" s="13">
        <v>18.007694987328161</v>
      </c>
      <c r="K8" s="13">
        <v>20.992305012671839</v>
      </c>
      <c r="L8" s="13">
        <f>C8*K8</f>
        <v>62.97691503801552</v>
      </c>
    </row>
    <row r="9" spans="1:12">
      <c r="A9" s="1">
        <v>8</v>
      </c>
      <c r="B9" s="3">
        <v>43782</v>
      </c>
      <c r="D9" s="1">
        <v>875.4</v>
      </c>
      <c r="E9" s="4" t="s">
        <v>15</v>
      </c>
      <c r="F9" t="s">
        <v>23</v>
      </c>
      <c r="G9" s="1">
        <v>2019</v>
      </c>
      <c r="H9" t="s">
        <v>100</v>
      </c>
    </row>
    <row r="10" spans="1:12" ht="14.4" customHeight="1" thickBot="1">
      <c r="A10" s="5">
        <v>9</v>
      </c>
      <c r="B10" s="6">
        <v>43782</v>
      </c>
      <c r="C10" s="11">
        <f>D10/39</f>
        <v>3</v>
      </c>
      <c r="D10" s="5">
        <v>117</v>
      </c>
      <c r="E10" s="7" t="s">
        <v>12</v>
      </c>
      <c r="F10" s="7" t="s">
        <v>25</v>
      </c>
      <c r="G10" s="5">
        <v>2019</v>
      </c>
      <c r="H10" t="s">
        <v>100</v>
      </c>
      <c r="I10">
        <v>39</v>
      </c>
      <c r="J10" s="13">
        <v>18.007694987328161</v>
      </c>
      <c r="K10" s="13">
        <v>20.992305012671839</v>
      </c>
      <c r="L10" s="13">
        <f>C10*K10</f>
        <v>62.97691503801552</v>
      </c>
    </row>
    <row r="11" spans="1:12">
      <c r="A11" s="1">
        <v>10</v>
      </c>
      <c r="B11" s="3">
        <v>43845</v>
      </c>
      <c r="C11" s="10">
        <f>D11/39</f>
        <v>4</v>
      </c>
      <c r="D11" s="1">
        <v>156</v>
      </c>
      <c r="E11" t="s">
        <v>12</v>
      </c>
      <c r="F11" t="s">
        <v>26</v>
      </c>
      <c r="G11" s="1">
        <v>2019</v>
      </c>
      <c r="H11" t="s">
        <v>100</v>
      </c>
      <c r="I11">
        <v>39</v>
      </c>
      <c r="J11" s="13">
        <v>18.007694987328161</v>
      </c>
      <c r="K11" s="13">
        <v>20.992305012671839</v>
      </c>
      <c r="L11" s="13">
        <f>C11*K11</f>
        <v>83.969220050687355</v>
      </c>
    </row>
    <row r="12" spans="1:12">
      <c r="A12" s="1">
        <v>11</v>
      </c>
      <c r="B12" s="3">
        <v>43912</v>
      </c>
      <c r="C12" s="10">
        <f>D12/39</f>
        <v>4</v>
      </c>
      <c r="D12" s="1">
        <v>156</v>
      </c>
      <c r="E12" t="s">
        <v>12</v>
      </c>
      <c r="F12" t="s">
        <v>27</v>
      </c>
      <c r="G12" s="1">
        <v>2020</v>
      </c>
      <c r="H12" t="s">
        <v>100</v>
      </c>
      <c r="I12">
        <v>39</v>
      </c>
      <c r="J12" s="13">
        <v>19.46950319050676</v>
      </c>
      <c r="K12" s="13">
        <v>19.53049680949324</v>
      </c>
      <c r="L12" s="13">
        <f>C12*K12</f>
        <v>78.121987237972959</v>
      </c>
    </row>
    <row r="13" spans="1:12">
      <c r="A13" s="1">
        <v>12</v>
      </c>
      <c r="B13" s="3">
        <v>43930</v>
      </c>
      <c r="D13" s="1">
        <v>875.4</v>
      </c>
      <c r="E13" s="4" t="s">
        <v>15</v>
      </c>
      <c r="F13" t="s">
        <v>28</v>
      </c>
      <c r="G13" s="1">
        <v>2020</v>
      </c>
      <c r="H13" t="s">
        <v>100</v>
      </c>
    </row>
    <row r="14" spans="1:12">
      <c r="A14" s="1">
        <v>13</v>
      </c>
      <c r="B14" s="3">
        <v>43975</v>
      </c>
      <c r="C14" s="10">
        <f>D14/39</f>
        <v>2</v>
      </c>
      <c r="D14" s="1">
        <v>78</v>
      </c>
      <c r="E14" t="s">
        <v>12</v>
      </c>
      <c r="F14" t="s">
        <v>29</v>
      </c>
      <c r="G14" s="1">
        <v>2020</v>
      </c>
      <c r="H14" t="s">
        <v>100</v>
      </c>
      <c r="I14">
        <v>39</v>
      </c>
      <c r="J14" s="13">
        <v>19.46950319050676</v>
      </c>
      <c r="K14" s="13">
        <v>19.53049680949324</v>
      </c>
      <c r="L14" s="13">
        <f>C14*K14</f>
        <v>39.06099361898648</v>
      </c>
    </row>
    <row r="15" spans="1:12">
      <c r="A15" s="1">
        <v>14</v>
      </c>
      <c r="B15" s="3">
        <v>44026</v>
      </c>
      <c r="C15" s="10">
        <f>D15/39</f>
        <v>4</v>
      </c>
      <c r="D15" s="1">
        <v>156</v>
      </c>
      <c r="E15" t="s">
        <v>12</v>
      </c>
      <c r="F15" t="s">
        <v>30</v>
      </c>
      <c r="G15" s="1">
        <v>2020</v>
      </c>
      <c r="H15" t="s">
        <v>100</v>
      </c>
      <c r="I15">
        <v>39</v>
      </c>
      <c r="J15" s="13">
        <v>19.46950319050676</v>
      </c>
      <c r="K15" s="13">
        <v>19.53049680949324</v>
      </c>
      <c r="L15" s="13">
        <f>C15*K15</f>
        <v>78.121987237972959</v>
      </c>
    </row>
    <row r="16" spans="1:12">
      <c r="A16" s="1">
        <v>15</v>
      </c>
      <c r="B16" s="3">
        <v>44090</v>
      </c>
      <c r="C16" s="10">
        <f>D16/39</f>
        <v>3</v>
      </c>
      <c r="D16" s="1">
        <v>117</v>
      </c>
      <c r="E16" t="s">
        <v>12</v>
      </c>
      <c r="F16" t="s">
        <v>31</v>
      </c>
      <c r="G16" s="1">
        <v>2020</v>
      </c>
      <c r="H16" t="s">
        <v>100</v>
      </c>
      <c r="I16">
        <v>39</v>
      </c>
      <c r="J16" s="13">
        <v>19.46950319050676</v>
      </c>
      <c r="K16" s="13">
        <v>19.53049680949324</v>
      </c>
      <c r="L16" s="13">
        <f>C16*K16</f>
        <v>58.591490428479716</v>
      </c>
    </row>
    <row r="17" spans="1:12">
      <c r="A17" s="1">
        <v>16</v>
      </c>
      <c r="B17" s="3">
        <v>44142</v>
      </c>
      <c r="C17" s="10">
        <f>D17/39</f>
        <v>3</v>
      </c>
      <c r="D17" s="1">
        <v>117</v>
      </c>
      <c r="E17" t="s">
        <v>12</v>
      </c>
      <c r="F17" t="s">
        <v>32</v>
      </c>
      <c r="G17" s="1">
        <v>2020</v>
      </c>
      <c r="H17" t="s">
        <v>100</v>
      </c>
      <c r="I17">
        <v>39</v>
      </c>
      <c r="J17" s="13">
        <v>19.46950319050676</v>
      </c>
      <c r="K17" s="13">
        <v>19.53049680949324</v>
      </c>
      <c r="L17" s="13">
        <f>C17*K17</f>
        <v>58.591490428479716</v>
      </c>
    </row>
    <row r="18" spans="1:12" ht="14.4" customHeight="1" thickBot="1">
      <c r="A18" s="5">
        <v>17</v>
      </c>
      <c r="B18" s="6">
        <v>44146</v>
      </c>
      <c r="C18" s="11"/>
      <c r="D18" s="5">
        <v>875.4</v>
      </c>
      <c r="E18" s="8" t="s">
        <v>15</v>
      </c>
      <c r="F18" s="7" t="s">
        <v>33</v>
      </c>
      <c r="G18" s="5">
        <v>2020</v>
      </c>
      <c r="H18" t="s">
        <v>100</v>
      </c>
    </row>
    <row r="19" spans="1:12">
      <c r="A19" s="1">
        <v>18</v>
      </c>
      <c r="B19" s="3">
        <v>44208</v>
      </c>
      <c r="C19" s="10">
        <f>D19/39</f>
        <v>6</v>
      </c>
      <c r="D19" s="1">
        <v>234</v>
      </c>
      <c r="E19" t="s">
        <v>12</v>
      </c>
      <c r="F19" t="s">
        <v>34</v>
      </c>
      <c r="G19" s="1">
        <v>2020</v>
      </c>
      <c r="H19" t="s">
        <v>100</v>
      </c>
      <c r="I19">
        <v>39</v>
      </c>
      <c r="J19" s="13">
        <v>19.46950319050676</v>
      </c>
      <c r="K19" s="13">
        <v>19.53049680949324</v>
      </c>
      <c r="L19" s="13">
        <f>C19*K19</f>
        <v>117.18298085695943</v>
      </c>
    </row>
    <row r="20" spans="1:12">
      <c r="A20" s="1">
        <v>19</v>
      </c>
      <c r="B20" s="3">
        <v>44268</v>
      </c>
      <c r="C20" s="10">
        <f>D20/39</f>
        <v>5</v>
      </c>
      <c r="D20" s="1">
        <v>195</v>
      </c>
      <c r="E20" t="s">
        <v>12</v>
      </c>
      <c r="F20" t="s">
        <v>35</v>
      </c>
      <c r="G20" s="1">
        <v>2021</v>
      </c>
      <c r="H20" t="s">
        <v>100</v>
      </c>
      <c r="I20">
        <v>39</v>
      </c>
      <c r="J20" s="13">
        <v>12.04441756561115</v>
      </c>
      <c r="K20" s="13">
        <v>26.955582434388852</v>
      </c>
      <c r="L20" s="13">
        <f>C20*K20</f>
        <v>134.77791217194425</v>
      </c>
    </row>
    <row r="21" spans="1:12">
      <c r="A21" s="1">
        <v>20</v>
      </c>
      <c r="B21" s="3">
        <v>44328</v>
      </c>
      <c r="C21" s="10">
        <f>D21/39</f>
        <v>5</v>
      </c>
      <c r="D21" s="1">
        <v>195</v>
      </c>
      <c r="E21" t="s">
        <v>12</v>
      </c>
      <c r="F21" t="s">
        <v>36</v>
      </c>
      <c r="G21" s="1">
        <v>2021</v>
      </c>
      <c r="H21" t="s">
        <v>100</v>
      </c>
      <c r="I21">
        <v>39</v>
      </c>
      <c r="J21" s="13">
        <v>12.04441756561115</v>
      </c>
      <c r="K21" s="13">
        <v>26.955582434388852</v>
      </c>
      <c r="L21" s="13">
        <f>C21*K21</f>
        <v>134.77791217194425</v>
      </c>
    </row>
    <row r="22" spans="1:12">
      <c r="A22" s="1">
        <v>21</v>
      </c>
      <c r="B22" s="3">
        <v>44338</v>
      </c>
      <c r="D22" s="1">
        <v>875.4</v>
      </c>
      <c r="E22" s="4" t="s">
        <v>15</v>
      </c>
      <c r="F22" t="s">
        <v>37</v>
      </c>
      <c r="G22" s="1">
        <v>2021</v>
      </c>
      <c r="H22" t="s">
        <v>100</v>
      </c>
    </row>
    <row r="23" spans="1:12">
      <c r="A23" s="1">
        <v>22</v>
      </c>
      <c r="B23" s="3">
        <v>44390</v>
      </c>
      <c r="C23" s="10">
        <f>D23/39</f>
        <v>5</v>
      </c>
      <c r="D23" s="1">
        <v>195</v>
      </c>
      <c r="E23" t="s">
        <v>12</v>
      </c>
      <c r="F23" t="s">
        <v>38</v>
      </c>
      <c r="G23" s="1">
        <v>2021</v>
      </c>
      <c r="H23" t="s">
        <v>100</v>
      </c>
      <c r="I23">
        <v>39</v>
      </c>
      <c r="J23" s="13">
        <v>12.04441756561115</v>
      </c>
      <c r="K23" s="13">
        <v>26.955582434388852</v>
      </c>
      <c r="L23" s="13">
        <f>C23*K23</f>
        <v>134.77791217194425</v>
      </c>
    </row>
    <row r="24" spans="1:12">
      <c r="A24" s="1">
        <v>23</v>
      </c>
      <c r="B24" s="3">
        <v>44453</v>
      </c>
      <c r="C24" s="10">
        <f>D24/39</f>
        <v>4</v>
      </c>
      <c r="D24" s="1">
        <v>156</v>
      </c>
      <c r="E24" t="s">
        <v>12</v>
      </c>
      <c r="F24" t="s">
        <v>39</v>
      </c>
      <c r="G24" s="1">
        <v>2021</v>
      </c>
      <c r="H24" t="s">
        <v>100</v>
      </c>
      <c r="I24">
        <v>39</v>
      </c>
      <c r="J24" s="13">
        <v>12.04441756561115</v>
      </c>
      <c r="K24" s="13">
        <v>26.955582434388852</v>
      </c>
      <c r="L24" s="13">
        <f>C24*K24</f>
        <v>107.82232973755541</v>
      </c>
    </row>
    <row r="25" spans="1:12">
      <c r="A25" s="1">
        <v>24</v>
      </c>
      <c r="B25" s="3">
        <v>44512</v>
      </c>
      <c r="D25" s="1">
        <v>875.4</v>
      </c>
      <c r="E25" s="4" t="s">
        <v>15</v>
      </c>
      <c r="F25" t="s">
        <v>40</v>
      </c>
      <c r="G25" s="1">
        <v>2021</v>
      </c>
      <c r="H25" t="s">
        <v>100</v>
      </c>
    </row>
    <row r="26" spans="1:12" ht="14.4" customHeight="1" thickBot="1">
      <c r="A26" s="5">
        <v>25</v>
      </c>
      <c r="B26" s="6">
        <v>44512</v>
      </c>
      <c r="C26" s="11">
        <f>D26/39</f>
        <v>3</v>
      </c>
      <c r="D26" s="5">
        <v>117</v>
      </c>
      <c r="E26" s="7" t="s">
        <v>12</v>
      </c>
      <c r="F26" s="7" t="s">
        <v>41</v>
      </c>
      <c r="G26" s="5">
        <v>2021</v>
      </c>
      <c r="H26" t="s">
        <v>100</v>
      </c>
      <c r="I26">
        <v>39</v>
      </c>
      <c r="J26" s="13">
        <v>12.04441756561115</v>
      </c>
      <c r="K26" s="13">
        <v>26.955582434388852</v>
      </c>
      <c r="L26" s="13">
        <f>C26*K26</f>
        <v>80.866747303166562</v>
      </c>
    </row>
    <row r="27" spans="1:12">
      <c r="A27" s="1">
        <v>26</v>
      </c>
      <c r="B27" s="3">
        <v>44576</v>
      </c>
      <c r="C27" s="10">
        <f>D27/39</f>
        <v>6</v>
      </c>
      <c r="D27" s="1">
        <v>234</v>
      </c>
      <c r="E27" t="s">
        <v>12</v>
      </c>
      <c r="F27" t="s">
        <v>42</v>
      </c>
      <c r="G27" s="1">
        <v>2021</v>
      </c>
      <c r="H27" t="s">
        <v>100</v>
      </c>
      <c r="I27">
        <v>39</v>
      </c>
      <c r="J27" s="13">
        <v>12.04441756561115</v>
      </c>
      <c r="K27" s="13">
        <v>26.955582434388852</v>
      </c>
      <c r="L27" s="13">
        <f>C27*K27</f>
        <v>161.73349460633312</v>
      </c>
    </row>
    <row r="28" spans="1:12">
      <c r="A28" s="1">
        <v>27</v>
      </c>
      <c r="B28" s="3">
        <v>44632</v>
      </c>
      <c r="C28" s="10">
        <f>D28/39</f>
        <v>7</v>
      </c>
      <c r="D28" s="1">
        <v>273</v>
      </c>
      <c r="E28" t="s">
        <v>12</v>
      </c>
      <c r="F28" t="s">
        <v>43</v>
      </c>
      <c r="G28" s="1">
        <v>2022</v>
      </c>
      <c r="H28" t="s">
        <v>100</v>
      </c>
      <c r="I28">
        <v>39</v>
      </c>
      <c r="J28" s="13">
        <v>15.96</v>
      </c>
      <c r="K28" s="13">
        <v>23.04</v>
      </c>
      <c r="L28" s="13">
        <f>C28*K28</f>
        <v>161.28</v>
      </c>
    </row>
    <row r="29" spans="1:12">
      <c r="A29" s="1">
        <v>28</v>
      </c>
      <c r="B29" s="3">
        <v>44687</v>
      </c>
      <c r="C29" s="10">
        <f>D29/42</f>
        <v>5</v>
      </c>
      <c r="D29" s="1">
        <v>210</v>
      </c>
      <c r="E29" t="s">
        <v>12</v>
      </c>
      <c r="F29" t="s">
        <v>44</v>
      </c>
      <c r="G29" s="1">
        <v>2022</v>
      </c>
      <c r="H29" t="s">
        <v>100</v>
      </c>
      <c r="I29">
        <v>42</v>
      </c>
      <c r="J29" s="13">
        <v>18.956837693187691</v>
      </c>
      <c r="K29" s="13">
        <v>23.043162306812309</v>
      </c>
      <c r="L29" s="13">
        <f>C29*K29</f>
        <v>115.21581153406154</v>
      </c>
    </row>
    <row r="30" spans="1:12">
      <c r="A30" s="1">
        <v>29</v>
      </c>
      <c r="B30" s="3">
        <v>44723</v>
      </c>
      <c r="D30" s="1">
        <v>875.4</v>
      </c>
      <c r="E30" s="4" t="s">
        <v>15</v>
      </c>
      <c r="F30" t="s">
        <v>45</v>
      </c>
      <c r="G30" s="1">
        <v>2022</v>
      </c>
      <c r="H30" t="s">
        <v>100</v>
      </c>
    </row>
    <row r="31" spans="1:12">
      <c r="A31" s="1">
        <v>30</v>
      </c>
      <c r="B31" s="3">
        <v>44755</v>
      </c>
      <c r="C31" s="10">
        <f>D31/42</f>
        <v>4</v>
      </c>
      <c r="D31" s="1">
        <v>168</v>
      </c>
      <c r="E31" t="s">
        <v>12</v>
      </c>
      <c r="F31" t="s">
        <v>46</v>
      </c>
      <c r="G31" s="1">
        <v>2022</v>
      </c>
      <c r="H31" t="s">
        <v>100</v>
      </c>
      <c r="I31">
        <v>42</v>
      </c>
      <c r="J31" s="13">
        <v>18.956837693187691</v>
      </c>
      <c r="K31" s="13">
        <v>23.043162306812309</v>
      </c>
      <c r="L31" s="13">
        <f>C31*K31</f>
        <v>92.172649227249238</v>
      </c>
    </row>
    <row r="32" spans="1:12">
      <c r="A32" s="1">
        <v>31</v>
      </c>
      <c r="B32" s="3">
        <v>44813</v>
      </c>
      <c r="C32" s="10">
        <f>D32/42</f>
        <v>1</v>
      </c>
      <c r="D32" s="1">
        <v>42</v>
      </c>
      <c r="E32" t="s">
        <v>12</v>
      </c>
      <c r="F32" t="s">
        <v>47</v>
      </c>
      <c r="G32" s="1">
        <v>2022</v>
      </c>
      <c r="H32" t="s">
        <v>100</v>
      </c>
      <c r="I32">
        <v>42</v>
      </c>
      <c r="J32" s="13">
        <v>18.956837693187691</v>
      </c>
      <c r="K32" s="13">
        <v>23.043162306812309</v>
      </c>
      <c r="L32" s="13">
        <f>C32*K32</f>
        <v>23.043162306812309</v>
      </c>
    </row>
    <row r="33" spans="1:12">
      <c r="A33" s="1">
        <v>32</v>
      </c>
      <c r="B33" s="3">
        <v>44872</v>
      </c>
      <c r="C33" s="10">
        <f>D33/42</f>
        <v>2.9988095238095238</v>
      </c>
      <c r="D33" s="1">
        <v>125.95</v>
      </c>
      <c r="E33" t="s">
        <v>12</v>
      </c>
      <c r="F33" t="s">
        <v>48</v>
      </c>
      <c r="G33" s="1">
        <v>2022</v>
      </c>
      <c r="H33" t="s">
        <v>100</v>
      </c>
      <c r="I33">
        <v>42</v>
      </c>
      <c r="J33" s="13">
        <v>18.956837693187691</v>
      </c>
      <c r="K33" s="13">
        <v>23.043162306812309</v>
      </c>
      <c r="L33" s="13">
        <f>C33*K33</f>
        <v>69.10205458435739</v>
      </c>
    </row>
    <row r="34" spans="1:12" ht="14.4" customHeight="1" thickBot="1">
      <c r="A34" s="5">
        <v>33</v>
      </c>
      <c r="B34" s="6">
        <v>44872</v>
      </c>
      <c r="C34" s="11"/>
      <c r="D34" s="5">
        <v>875.32</v>
      </c>
      <c r="E34" s="8" t="s">
        <v>15</v>
      </c>
      <c r="F34" s="7" t="s">
        <v>49</v>
      </c>
      <c r="G34" s="5">
        <v>2022</v>
      </c>
      <c r="H34" t="s">
        <v>100</v>
      </c>
    </row>
    <row r="35" spans="1:12">
      <c r="A35" s="1">
        <v>34</v>
      </c>
      <c r="B35" s="3">
        <v>44945</v>
      </c>
      <c r="C35" s="10">
        <f>D35/42</f>
        <v>4</v>
      </c>
      <c r="D35" s="1">
        <v>168</v>
      </c>
      <c r="E35" t="s">
        <v>12</v>
      </c>
      <c r="F35" t="s">
        <v>50</v>
      </c>
      <c r="G35" s="1">
        <v>2022</v>
      </c>
      <c r="H35" t="s">
        <v>100</v>
      </c>
      <c r="I35">
        <v>42</v>
      </c>
      <c r="J35" s="13">
        <v>18.956837693187691</v>
      </c>
      <c r="K35" s="13">
        <v>23.043162306812309</v>
      </c>
      <c r="L35" s="13">
        <f>C35*K35</f>
        <v>92.172649227249238</v>
      </c>
    </row>
    <row r="36" spans="1:12">
      <c r="A36" s="1">
        <v>35</v>
      </c>
      <c r="B36" s="3">
        <v>44997</v>
      </c>
      <c r="C36" s="10">
        <f>D36/42</f>
        <v>4</v>
      </c>
      <c r="D36" s="1">
        <v>168</v>
      </c>
      <c r="E36" t="s">
        <v>12</v>
      </c>
      <c r="F36" t="s">
        <v>51</v>
      </c>
      <c r="G36" s="1">
        <v>2023</v>
      </c>
      <c r="H36" t="s">
        <v>100</v>
      </c>
      <c r="I36">
        <v>42</v>
      </c>
      <c r="J36" s="13">
        <v>17.81077428945607</v>
      </c>
      <c r="K36" s="13">
        <v>24.18922571054393</v>
      </c>
      <c r="L36" s="13">
        <f>C36*K36</f>
        <v>96.75690284217572</v>
      </c>
    </row>
    <row r="37" spans="1:12">
      <c r="A37" s="1">
        <v>36</v>
      </c>
      <c r="B37" s="3">
        <v>45067</v>
      </c>
      <c r="C37" s="10">
        <f>D37/42</f>
        <v>5</v>
      </c>
      <c r="D37" s="1">
        <v>210</v>
      </c>
      <c r="E37" t="s">
        <v>12</v>
      </c>
      <c r="F37" t="s">
        <v>52</v>
      </c>
      <c r="G37" s="1">
        <v>2023</v>
      </c>
      <c r="H37" t="s">
        <v>100</v>
      </c>
      <c r="I37">
        <v>42</v>
      </c>
      <c r="J37" s="13">
        <v>17.81077428945607</v>
      </c>
      <c r="K37" s="13">
        <v>24.18922571054393</v>
      </c>
      <c r="L37" s="13">
        <f>C37*K37</f>
        <v>120.94612855271964</v>
      </c>
    </row>
    <row r="38" spans="1:12">
      <c r="A38" s="1">
        <v>37</v>
      </c>
      <c r="B38" s="3">
        <v>45089</v>
      </c>
      <c r="D38" s="1">
        <v>875.4</v>
      </c>
      <c r="E38" s="4" t="s">
        <v>15</v>
      </c>
      <c r="F38" t="s">
        <v>53</v>
      </c>
      <c r="G38" s="1">
        <v>2023</v>
      </c>
      <c r="H38" t="s">
        <v>100</v>
      </c>
    </row>
    <row r="39" spans="1:12">
      <c r="A39" s="1">
        <v>38</v>
      </c>
      <c r="B39" s="3">
        <v>45118</v>
      </c>
      <c r="C39" s="10">
        <f>D39/42</f>
        <v>2</v>
      </c>
      <c r="D39" s="1">
        <v>84</v>
      </c>
      <c r="E39" t="s">
        <v>12</v>
      </c>
      <c r="F39" t="s">
        <v>54</v>
      </c>
      <c r="G39" s="1">
        <v>2023</v>
      </c>
      <c r="H39" t="s">
        <v>100</v>
      </c>
      <c r="I39">
        <v>42</v>
      </c>
      <c r="J39" s="13">
        <v>17.81077428945607</v>
      </c>
      <c r="K39" s="13">
        <v>24.18922571054393</v>
      </c>
      <c r="L39" s="13">
        <f>C39*K39</f>
        <v>48.37845142108786</v>
      </c>
    </row>
    <row r="40" spans="1:12">
      <c r="A40" s="1">
        <v>39</v>
      </c>
      <c r="B40" s="3">
        <v>45183</v>
      </c>
      <c r="C40" s="10">
        <f>D40/42</f>
        <v>1</v>
      </c>
      <c r="D40" s="1">
        <v>42</v>
      </c>
      <c r="E40" t="s">
        <v>12</v>
      </c>
      <c r="F40" t="s">
        <v>55</v>
      </c>
      <c r="G40" s="1">
        <v>2023</v>
      </c>
      <c r="H40" t="s">
        <v>100</v>
      </c>
      <c r="I40">
        <v>42</v>
      </c>
      <c r="J40" s="13">
        <v>17.81077428945607</v>
      </c>
      <c r="K40" s="13">
        <v>24.18922571054393</v>
      </c>
      <c r="L40" s="13">
        <f>C40*K40</f>
        <v>24.18922571054393</v>
      </c>
    </row>
    <row r="41" spans="1:12">
      <c r="A41" s="1">
        <v>40</v>
      </c>
      <c r="B41" s="3">
        <v>45241</v>
      </c>
      <c r="C41" s="10">
        <f>D41/42</f>
        <v>2</v>
      </c>
      <c r="D41" s="1">
        <v>84</v>
      </c>
      <c r="E41" t="s">
        <v>12</v>
      </c>
      <c r="F41" t="s">
        <v>56</v>
      </c>
      <c r="G41" s="1">
        <v>2023</v>
      </c>
      <c r="H41" t="s">
        <v>100</v>
      </c>
      <c r="I41">
        <v>42</v>
      </c>
      <c r="J41" s="13">
        <v>17.81077428945607</v>
      </c>
      <c r="K41" s="13">
        <v>24.18922571054393</v>
      </c>
      <c r="L41" s="13">
        <f>C41*K41</f>
        <v>48.37845142108786</v>
      </c>
    </row>
    <row r="42" spans="1:12" ht="14.4" customHeight="1" thickBot="1">
      <c r="A42" s="5">
        <v>41</v>
      </c>
      <c r="B42" s="6">
        <v>45241</v>
      </c>
      <c r="C42" s="11"/>
      <c r="D42" s="5">
        <v>875.4</v>
      </c>
      <c r="E42" s="8" t="s">
        <v>15</v>
      </c>
      <c r="F42" s="7" t="s">
        <v>57</v>
      </c>
      <c r="G42" s="5">
        <v>2023</v>
      </c>
      <c r="H42" t="s">
        <v>100</v>
      </c>
    </row>
    <row r="43" spans="1:12">
      <c r="A43" s="1">
        <v>42</v>
      </c>
      <c r="B43" s="3">
        <v>45302</v>
      </c>
      <c r="C43" s="10">
        <f>D43/42</f>
        <v>4</v>
      </c>
      <c r="D43" s="1">
        <v>168</v>
      </c>
      <c r="E43" t="s">
        <v>12</v>
      </c>
      <c r="F43" t="s">
        <v>58</v>
      </c>
      <c r="G43" s="1">
        <v>2023</v>
      </c>
      <c r="H43" t="s">
        <v>100</v>
      </c>
      <c r="I43">
        <v>42</v>
      </c>
      <c r="J43" s="13">
        <v>17.81077428945607</v>
      </c>
      <c r="K43" s="13">
        <v>24.18922571054393</v>
      </c>
      <c r="L43" s="13">
        <f>C43*K43</f>
        <v>96.75690284217572</v>
      </c>
    </row>
    <row r="44" spans="1:12">
      <c r="A44" s="1">
        <v>43</v>
      </c>
      <c r="B44" s="3">
        <v>45364</v>
      </c>
      <c r="C44" s="10">
        <f>D44/42</f>
        <v>4</v>
      </c>
      <c r="D44" s="1">
        <v>168</v>
      </c>
      <c r="E44" t="s">
        <v>12</v>
      </c>
      <c r="F44" t="s">
        <v>59</v>
      </c>
      <c r="G44" s="1">
        <v>2024</v>
      </c>
      <c r="H44" t="s">
        <v>100</v>
      </c>
      <c r="I44">
        <v>42</v>
      </c>
      <c r="J44" s="13">
        <v>17.951184049385969</v>
      </c>
      <c r="K44" s="13">
        <v>24.048815950614031</v>
      </c>
      <c r="L44" s="13">
        <f>C44*K44</f>
        <v>96.195263802456125</v>
      </c>
    </row>
    <row r="45" spans="1:12">
      <c r="A45" s="1">
        <v>44</v>
      </c>
      <c r="B45" s="3">
        <v>45430</v>
      </c>
      <c r="C45" s="10">
        <f>D45/42</f>
        <v>5</v>
      </c>
      <c r="D45" s="1">
        <v>210</v>
      </c>
      <c r="E45" t="s">
        <v>12</v>
      </c>
      <c r="F45" t="s">
        <v>60</v>
      </c>
      <c r="G45" s="1">
        <v>2024</v>
      </c>
      <c r="H45" t="s">
        <v>100</v>
      </c>
      <c r="I45">
        <v>42</v>
      </c>
      <c r="J45" s="13">
        <v>17.951184049385969</v>
      </c>
      <c r="K45" s="13">
        <v>24.048815950614031</v>
      </c>
      <c r="L45" s="13">
        <f>C45*K45</f>
        <v>120.24407975307015</v>
      </c>
    </row>
    <row r="46" spans="1:12">
      <c r="A46" s="1">
        <v>45</v>
      </c>
      <c r="B46" s="3">
        <v>45430</v>
      </c>
      <c r="D46" s="1">
        <v>924.3</v>
      </c>
      <c r="E46" s="4" t="s">
        <v>15</v>
      </c>
      <c r="F46" t="s">
        <v>61</v>
      </c>
      <c r="G46" s="1">
        <v>2024</v>
      </c>
      <c r="H46" t="s">
        <v>100</v>
      </c>
    </row>
    <row r="47" spans="1:12">
      <c r="A47" s="1">
        <v>46</v>
      </c>
      <c r="B47" s="3">
        <v>45489</v>
      </c>
      <c r="C47" s="10">
        <f>D47/42</f>
        <v>3</v>
      </c>
      <c r="D47" s="1">
        <v>126</v>
      </c>
      <c r="E47" t="s">
        <v>12</v>
      </c>
      <c r="F47" t="s">
        <v>62</v>
      </c>
      <c r="G47" s="1">
        <v>2024</v>
      </c>
      <c r="H47" t="s">
        <v>100</v>
      </c>
      <c r="I47">
        <v>42</v>
      </c>
      <c r="J47" s="13">
        <v>17.951184049385969</v>
      </c>
      <c r="K47" s="13">
        <v>24.048815950614031</v>
      </c>
      <c r="L47" s="13">
        <f>C47*K47</f>
        <v>72.146447851842098</v>
      </c>
    </row>
    <row r="48" spans="1:12">
      <c r="A48" s="1">
        <v>47</v>
      </c>
      <c r="B48" s="43" t="s">
        <v>90</v>
      </c>
      <c r="C48" s="23">
        <f>D48/42</f>
        <v>2</v>
      </c>
      <c r="D48" s="24">
        <v>84</v>
      </c>
      <c r="E48" s="25" t="s">
        <v>91</v>
      </c>
      <c r="F48" s="25" t="s">
        <v>80</v>
      </c>
      <c r="G48" s="24">
        <v>2024</v>
      </c>
      <c r="H48" s="31" t="s">
        <v>97</v>
      </c>
      <c r="I48">
        <v>42</v>
      </c>
    </row>
    <row r="49" spans="1:9">
      <c r="A49" s="1">
        <v>48</v>
      </c>
      <c r="B49" s="43"/>
      <c r="C49" s="23">
        <f>D49/42</f>
        <v>2</v>
      </c>
      <c r="D49" s="24">
        <v>84</v>
      </c>
      <c r="E49" s="25" t="s">
        <v>91</v>
      </c>
      <c r="F49" s="25" t="s">
        <v>81</v>
      </c>
      <c r="G49" s="24">
        <v>2024</v>
      </c>
      <c r="H49" s="31" t="s">
        <v>97</v>
      </c>
      <c r="I49">
        <v>42</v>
      </c>
    </row>
    <row r="50" spans="1:9">
      <c r="A50" s="1">
        <v>49</v>
      </c>
      <c r="B50" s="43"/>
      <c r="C50" s="23">
        <f>D50/42</f>
        <v>3</v>
      </c>
      <c r="D50" s="24">
        <v>126</v>
      </c>
      <c r="E50" s="25" t="s">
        <v>91</v>
      </c>
      <c r="F50" s="25" t="s">
        <v>82</v>
      </c>
      <c r="G50" s="24">
        <v>2024</v>
      </c>
      <c r="H50" s="31" t="s">
        <v>97</v>
      </c>
      <c r="I50">
        <v>42</v>
      </c>
    </row>
    <row r="51" spans="1:9">
      <c r="A51" s="1">
        <v>50</v>
      </c>
      <c r="B51" s="26"/>
      <c r="C51" s="27"/>
      <c r="D51" s="28">
        <f>32.43*5*6</f>
        <v>972.90000000000009</v>
      </c>
      <c r="E51" s="33" t="s">
        <v>92</v>
      </c>
      <c r="F51" s="29" t="s">
        <v>93</v>
      </c>
      <c r="G51" s="28">
        <v>2024</v>
      </c>
      <c r="H51" s="42" t="s">
        <v>97</v>
      </c>
    </row>
    <row r="52" spans="1:9">
      <c r="A52" s="1">
        <v>51</v>
      </c>
      <c r="B52" s="26"/>
      <c r="C52" s="27">
        <f>D52/42</f>
        <v>3</v>
      </c>
      <c r="D52" s="28">
        <v>126</v>
      </c>
      <c r="E52" s="29" t="s">
        <v>91</v>
      </c>
      <c r="F52" s="29" t="s">
        <v>83</v>
      </c>
      <c r="G52" s="28">
        <v>2025</v>
      </c>
      <c r="H52" s="42" t="s">
        <v>97</v>
      </c>
      <c r="I52">
        <v>42</v>
      </c>
    </row>
    <row r="53" spans="1:9">
      <c r="A53" s="1">
        <v>52</v>
      </c>
      <c r="B53" s="26"/>
      <c r="C53" s="27">
        <f>D53/42</f>
        <v>3</v>
      </c>
      <c r="D53" s="28">
        <v>126</v>
      </c>
      <c r="E53" s="29" t="s">
        <v>91</v>
      </c>
      <c r="F53" s="29" t="s">
        <v>84</v>
      </c>
      <c r="G53" s="28">
        <v>2025</v>
      </c>
      <c r="H53" s="42" t="s">
        <v>97</v>
      </c>
      <c r="I53">
        <v>42</v>
      </c>
    </row>
    <row r="54" spans="1:9">
      <c r="A54" s="1">
        <v>53</v>
      </c>
      <c r="B54" s="26"/>
      <c r="C54" s="27">
        <f>D54/42</f>
        <v>3</v>
      </c>
      <c r="D54" s="28">
        <v>126</v>
      </c>
      <c r="E54" s="29" t="s">
        <v>91</v>
      </c>
      <c r="F54" s="29" t="s">
        <v>85</v>
      </c>
      <c r="G54" s="28">
        <v>2025</v>
      </c>
      <c r="H54" s="42" t="s">
        <v>97</v>
      </c>
      <c r="I54">
        <v>42</v>
      </c>
    </row>
    <row r="55" spans="1:9">
      <c r="A55" s="1">
        <v>54</v>
      </c>
      <c r="B55" s="26"/>
      <c r="C55" s="27"/>
      <c r="D55" s="28">
        <f>32.43*4.5*6</f>
        <v>875.61</v>
      </c>
      <c r="E55" s="33" t="s">
        <v>92</v>
      </c>
      <c r="F55" s="29" t="s">
        <v>94</v>
      </c>
      <c r="G55" s="28">
        <v>2025</v>
      </c>
      <c r="H55" s="42" t="s">
        <v>97</v>
      </c>
    </row>
    <row r="56" spans="1:9">
      <c r="A56" s="1">
        <v>55</v>
      </c>
      <c r="B56" s="26"/>
      <c r="C56" s="27">
        <f>D56/42</f>
        <v>2</v>
      </c>
      <c r="D56" s="28">
        <v>84</v>
      </c>
      <c r="E56" s="29" t="s">
        <v>91</v>
      </c>
      <c r="F56" s="29" t="s">
        <v>86</v>
      </c>
      <c r="G56" s="28">
        <v>2025</v>
      </c>
      <c r="H56" s="42" t="s">
        <v>97</v>
      </c>
      <c r="I56">
        <v>42</v>
      </c>
    </row>
    <row r="57" spans="1:9">
      <c r="A57" s="1">
        <v>56</v>
      </c>
      <c r="B57" s="26"/>
      <c r="C57" s="27">
        <f>D57/42</f>
        <v>2</v>
      </c>
      <c r="D57" s="28">
        <v>84</v>
      </c>
      <c r="E57" s="29" t="s">
        <v>91</v>
      </c>
      <c r="F57" s="29" t="s">
        <v>87</v>
      </c>
      <c r="G57" s="28">
        <v>2025</v>
      </c>
      <c r="H57" s="42" t="s">
        <v>97</v>
      </c>
      <c r="I57">
        <v>42</v>
      </c>
    </row>
    <row r="58" spans="1:9">
      <c r="A58" s="1">
        <v>57</v>
      </c>
      <c r="B58" s="26"/>
      <c r="C58" s="27">
        <f>D58/42</f>
        <v>3</v>
      </c>
      <c r="D58" s="28">
        <v>126</v>
      </c>
      <c r="E58" s="29" t="s">
        <v>91</v>
      </c>
      <c r="F58" s="30" t="s">
        <v>88</v>
      </c>
      <c r="G58" s="28">
        <v>2025</v>
      </c>
      <c r="H58" s="42" t="s">
        <v>97</v>
      </c>
      <c r="I58">
        <v>42</v>
      </c>
    </row>
    <row r="59" spans="1:9">
      <c r="A59" s="1">
        <v>58</v>
      </c>
      <c r="B59" s="26"/>
      <c r="C59" s="27"/>
      <c r="D59" s="28">
        <f>32.43*4.5*6</f>
        <v>875.61</v>
      </c>
      <c r="E59" s="33" t="s">
        <v>92</v>
      </c>
      <c r="F59" s="29" t="s">
        <v>95</v>
      </c>
      <c r="G59" s="28">
        <v>2025</v>
      </c>
      <c r="H59" s="42" t="s">
        <v>97</v>
      </c>
    </row>
    <row r="60" spans="1:9">
      <c r="A60" s="1">
        <v>59</v>
      </c>
      <c r="B60" s="26"/>
      <c r="C60" s="27">
        <f>D60/42</f>
        <v>4</v>
      </c>
      <c r="D60" s="28">
        <v>168</v>
      </c>
      <c r="E60" s="29" t="s">
        <v>91</v>
      </c>
      <c r="F60" s="32" t="s">
        <v>89</v>
      </c>
      <c r="G60" s="28">
        <v>2026</v>
      </c>
      <c r="H60" s="42" t="s">
        <v>97</v>
      </c>
      <c r="I60">
        <v>42</v>
      </c>
    </row>
    <row r="61" spans="1:9">
      <c r="A61" s="1">
        <v>60</v>
      </c>
      <c r="D61" s="1">
        <f>32.43*4.5*4</f>
        <v>583.74</v>
      </c>
      <c r="E61" s="33" t="s">
        <v>92</v>
      </c>
      <c r="F61" s="12" t="s">
        <v>96</v>
      </c>
      <c r="G61" s="1">
        <v>2026</v>
      </c>
      <c r="H61" s="34" t="s">
        <v>98</v>
      </c>
    </row>
  </sheetData>
  <autoFilter ref="A1:L61" xr:uid="{00000000-0001-0000-0100-000000000000}"/>
  <mergeCells count="1">
    <mergeCell ref="B48:B50"/>
  </mergeCells>
  <phoneticPr fontId="1" type="noConversion"/>
  <dataValidations disablePrompts="1" count="1">
    <dataValidation type="list" allowBlank="1" showInputMessage="1" showErrorMessage="1" sqref="E1:E47 E70:E1048576" xr:uid="{00000000-0002-0000-0100-000000000000}">
      <formula1>$L$4:$L$5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workbookViewId="0">
      <pane ySplit="1" topLeftCell="A29" activePane="bottomLeft" state="frozen"/>
      <selection pane="bottomLeft" activeCell="D23" sqref="D23"/>
    </sheetView>
  </sheetViews>
  <sheetFormatPr defaultRowHeight="14.1"/>
  <cols>
    <col min="2" max="2" width="13.5" customWidth="1"/>
  </cols>
  <sheetData>
    <row r="1" spans="1:12" ht="45.6">
      <c r="A1" s="15" t="s">
        <v>0</v>
      </c>
      <c r="B1" s="16" t="s">
        <v>1</v>
      </c>
      <c r="C1" s="17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>
      <c r="A2" s="1">
        <v>1</v>
      </c>
      <c r="B2" s="3">
        <v>43421</v>
      </c>
      <c r="C2" s="10">
        <v>2</v>
      </c>
      <c r="D2" s="1">
        <v>78</v>
      </c>
      <c r="E2" t="s">
        <v>12</v>
      </c>
      <c r="F2" t="s">
        <v>13</v>
      </c>
      <c r="G2" s="1">
        <v>2018</v>
      </c>
      <c r="H2" t="s">
        <v>14</v>
      </c>
      <c r="I2">
        <v>39</v>
      </c>
      <c r="J2" s="13">
        <v>20.456512453679139</v>
      </c>
      <c r="K2" s="13">
        <v>18.543487546320861</v>
      </c>
      <c r="L2" s="13">
        <v>37.086975092641723</v>
      </c>
    </row>
    <row r="3" spans="1:12">
      <c r="A3" s="1">
        <v>3</v>
      </c>
      <c r="B3" s="3">
        <v>43479</v>
      </c>
      <c r="C3" s="10">
        <v>5</v>
      </c>
      <c r="D3" s="1">
        <v>195</v>
      </c>
      <c r="E3" t="s">
        <v>12</v>
      </c>
      <c r="F3" t="s">
        <v>18</v>
      </c>
      <c r="G3" s="1">
        <v>2019</v>
      </c>
      <c r="H3" t="s">
        <v>14</v>
      </c>
      <c r="I3">
        <v>39</v>
      </c>
      <c r="J3" s="13">
        <v>20.456512453679139</v>
      </c>
      <c r="K3" s="13">
        <v>18.543487546320861</v>
      </c>
      <c r="L3" s="14">
        <v>92.717437731604306</v>
      </c>
    </row>
    <row r="4" spans="1:12">
      <c r="A4" s="1">
        <v>4</v>
      </c>
      <c r="B4" s="3">
        <v>43536</v>
      </c>
      <c r="C4" s="10">
        <v>4</v>
      </c>
      <c r="D4" s="1">
        <v>156</v>
      </c>
      <c r="E4" t="s">
        <v>12</v>
      </c>
      <c r="F4" t="s">
        <v>19</v>
      </c>
      <c r="G4" s="1">
        <v>2019</v>
      </c>
      <c r="H4" t="s">
        <v>14</v>
      </c>
      <c r="I4">
        <v>39</v>
      </c>
      <c r="J4" s="13">
        <v>18.007694987328161</v>
      </c>
      <c r="K4" s="13">
        <v>20.992305012671839</v>
      </c>
      <c r="L4" s="14">
        <v>83.969220050687355</v>
      </c>
    </row>
    <row r="5" spans="1:12">
      <c r="A5" s="1">
        <v>5</v>
      </c>
      <c r="B5" s="3">
        <v>43598</v>
      </c>
      <c r="C5" s="10">
        <v>5</v>
      </c>
      <c r="D5" s="1">
        <v>195</v>
      </c>
      <c r="E5" t="s">
        <v>12</v>
      </c>
      <c r="F5" t="s">
        <v>20</v>
      </c>
      <c r="G5" s="1">
        <v>2019</v>
      </c>
      <c r="H5" t="s">
        <v>14</v>
      </c>
      <c r="I5">
        <v>39</v>
      </c>
      <c r="J5" s="13">
        <v>18.007694987328161</v>
      </c>
      <c r="K5" s="13">
        <v>20.992305012671839</v>
      </c>
      <c r="L5" s="13">
        <v>104.96152506335919</v>
      </c>
    </row>
    <row r="6" spans="1:12">
      <c r="A6" s="1">
        <v>6</v>
      </c>
      <c r="B6" s="3">
        <v>43661</v>
      </c>
      <c r="C6" s="10">
        <v>3</v>
      </c>
      <c r="D6" s="1">
        <v>117</v>
      </c>
      <c r="E6" t="s">
        <v>12</v>
      </c>
      <c r="F6" t="s">
        <v>21</v>
      </c>
      <c r="G6" s="1">
        <v>2019</v>
      </c>
      <c r="H6" t="s">
        <v>14</v>
      </c>
      <c r="I6">
        <v>39</v>
      </c>
      <c r="J6" s="13">
        <v>18.007694987328161</v>
      </c>
      <c r="K6" s="13">
        <v>20.992305012671839</v>
      </c>
      <c r="L6" s="13">
        <v>62.97691503801552</v>
      </c>
    </row>
    <row r="7" spans="1:12">
      <c r="A7" s="1">
        <v>7</v>
      </c>
      <c r="B7" s="3">
        <v>43726</v>
      </c>
      <c r="C7" s="10">
        <v>3</v>
      </c>
      <c r="D7" s="1">
        <v>117</v>
      </c>
      <c r="E7" t="s">
        <v>12</v>
      </c>
      <c r="F7" t="s">
        <v>22</v>
      </c>
      <c r="G7" s="1">
        <v>2019</v>
      </c>
      <c r="H7" t="s">
        <v>14</v>
      </c>
      <c r="I7">
        <v>39</v>
      </c>
      <c r="J7" s="13">
        <v>18.007694987328161</v>
      </c>
      <c r="K7" s="13">
        <v>20.992305012671839</v>
      </c>
      <c r="L7" s="13">
        <v>62.97691503801552</v>
      </c>
    </row>
    <row r="8" spans="1:12">
      <c r="A8" s="1">
        <v>9</v>
      </c>
      <c r="B8" s="3">
        <v>43782</v>
      </c>
      <c r="C8" s="10">
        <v>3</v>
      </c>
      <c r="D8" s="1">
        <v>117</v>
      </c>
      <c r="E8" t="s">
        <v>12</v>
      </c>
      <c r="F8" t="s">
        <v>25</v>
      </c>
      <c r="G8" s="1">
        <v>2019</v>
      </c>
      <c r="H8" t="s">
        <v>14</v>
      </c>
      <c r="I8">
        <v>39</v>
      </c>
      <c r="J8" s="13">
        <v>18.007694987328161</v>
      </c>
      <c r="K8" s="13">
        <v>20.992305012671839</v>
      </c>
      <c r="L8" s="13">
        <v>62.97691503801552</v>
      </c>
    </row>
    <row r="9" spans="1:12">
      <c r="A9" s="1">
        <v>10</v>
      </c>
      <c r="B9" s="3">
        <v>43845</v>
      </c>
      <c r="C9" s="10">
        <v>4</v>
      </c>
      <c r="D9" s="1">
        <v>156</v>
      </c>
      <c r="E9" t="s">
        <v>12</v>
      </c>
      <c r="F9" t="s">
        <v>26</v>
      </c>
      <c r="G9" s="1">
        <v>2019</v>
      </c>
      <c r="H9" t="s">
        <v>14</v>
      </c>
      <c r="I9">
        <v>39</v>
      </c>
      <c r="J9" s="13">
        <v>18.007694987328161</v>
      </c>
      <c r="K9" s="13">
        <v>20.992305012671839</v>
      </c>
      <c r="L9" s="13">
        <v>83.969220050687355</v>
      </c>
    </row>
    <row r="10" spans="1:12">
      <c r="A10" s="1">
        <v>11</v>
      </c>
      <c r="B10" s="3">
        <v>43912</v>
      </c>
      <c r="C10" s="10">
        <v>4</v>
      </c>
      <c r="D10" s="1">
        <v>156</v>
      </c>
      <c r="E10" t="s">
        <v>12</v>
      </c>
      <c r="F10" t="s">
        <v>27</v>
      </c>
      <c r="G10" s="1">
        <v>2020</v>
      </c>
      <c r="H10" t="s">
        <v>14</v>
      </c>
      <c r="I10">
        <v>39</v>
      </c>
      <c r="J10" s="13">
        <v>19.46950319050676</v>
      </c>
      <c r="K10" s="13">
        <v>19.53049680949324</v>
      </c>
      <c r="L10" s="13">
        <v>78.121987237972959</v>
      </c>
    </row>
    <row r="11" spans="1:12">
      <c r="A11" s="1">
        <v>13</v>
      </c>
      <c r="B11" s="3">
        <v>43975</v>
      </c>
      <c r="C11" s="10">
        <v>2</v>
      </c>
      <c r="D11" s="1">
        <v>78</v>
      </c>
      <c r="E11" t="s">
        <v>12</v>
      </c>
      <c r="F11" t="s">
        <v>29</v>
      </c>
      <c r="G11" s="1">
        <v>2020</v>
      </c>
      <c r="H11" t="s">
        <v>14</v>
      </c>
      <c r="I11">
        <v>39</v>
      </c>
      <c r="J11" s="13">
        <v>19.46950319050676</v>
      </c>
      <c r="K11" s="13">
        <v>19.53049680949324</v>
      </c>
      <c r="L11" s="13">
        <v>39.06099361898648</v>
      </c>
    </row>
    <row r="12" spans="1:12">
      <c r="A12" s="1">
        <v>14</v>
      </c>
      <c r="B12" s="3">
        <v>44026</v>
      </c>
      <c r="C12" s="10">
        <v>4</v>
      </c>
      <c r="D12" s="1">
        <v>156</v>
      </c>
      <c r="E12" t="s">
        <v>12</v>
      </c>
      <c r="F12" t="s">
        <v>30</v>
      </c>
      <c r="G12" s="1">
        <v>2020</v>
      </c>
      <c r="H12" t="s">
        <v>14</v>
      </c>
      <c r="I12">
        <v>39</v>
      </c>
      <c r="J12" s="13">
        <v>19.46950319050676</v>
      </c>
      <c r="K12" s="13">
        <v>19.53049680949324</v>
      </c>
      <c r="L12" s="13">
        <v>78.121987237972959</v>
      </c>
    </row>
    <row r="13" spans="1:12">
      <c r="A13" s="1">
        <v>15</v>
      </c>
      <c r="B13" s="3">
        <v>44090</v>
      </c>
      <c r="C13" s="10">
        <v>3</v>
      </c>
      <c r="D13" s="1">
        <v>117</v>
      </c>
      <c r="E13" t="s">
        <v>12</v>
      </c>
      <c r="F13" t="s">
        <v>31</v>
      </c>
      <c r="G13" s="1">
        <v>2020</v>
      </c>
      <c r="H13" t="s">
        <v>14</v>
      </c>
      <c r="I13">
        <v>39</v>
      </c>
      <c r="J13" s="13">
        <v>19.46950319050676</v>
      </c>
      <c r="K13" s="13">
        <v>19.53049680949324</v>
      </c>
      <c r="L13" s="13">
        <v>58.591490428479716</v>
      </c>
    </row>
    <row r="14" spans="1:12">
      <c r="A14" s="1">
        <v>16</v>
      </c>
      <c r="B14" s="3">
        <v>44142</v>
      </c>
      <c r="C14" s="10">
        <v>3</v>
      </c>
      <c r="D14" s="1">
        <v>117</v>
      </c>
      <c r="E14" t="s">
        <v>12</v>
      </c>
      <c r="F14" t="s">
        <v>32</v>
      </c>
      <c r="G14" s="1">
        <v>2020</v>
      </c>
      <c r="H14" t="s">
        <v>14</v>
      </c>
      <c r="I14">
        <v>39</v>
      </c>
      <c r="J14" s="13">
        <v>19.46950319050676</v>
      </c>
      <c r="K14" s="13">
        <v>19.53049680949324</v>
      </c>
      <c r="L14" s="13">
        <v>58.591490428479716</v>
      </c>
    </row>
    <row r="15" spans="1:12">
      <c r="A15" s="1">
        <v>18</v>
      </c>
      <c r="B15" s="3">
        <v>44208</v>
      </c>
      <c r="C15" s="10">
        <v>6</v>
      </c>
      <c r="D15" s="1">
        <v>234</v>
      </c>
      <c r="E15" t="s">
        <v>12</v>
      </c>
      <c r="F15" t="s">
        <v>34</v>
      </c>
      <c r="G15" s="1">
        <v>2020</v>
      </c>
      <c r="H15" t="s">
        <v>14</v>
      </c>
      <c r="I15">
        <v>39</v>
      </c>
      <c r="J15" s="13">
        <v>19.46950319050676</v>
      </c>
      <c r="K15" s="13">
        <v>19.53049680949324</v>
      </c>
      <c r="L15" s="13">
        <v>117.18298085695943</v>
      </c>
    </row>
    <row r="16" spans="1:12">
      <c r="A16" s="1">
        <v>19</v>
      </c>
      <c r="B16" s="3">
        <v>44268</v>
      </c>
      <c r="C16" s="10">
        <v>5</v>
      </c>
      <c r="D16" s="1">
        <v>195</v>
      </c>
      <c r="E16" t="s">
        <v>12</v>
      </c>
      <c r="F16" t="s">
        <v>35</v>
      </c>
      <c r="G16" s="1">
        <v>2021</v>
      </c>
      <c r="H16" t="s">
        <v>14</v>
      </c>
      <c r="I16">
        <v>39</v>
      </c>
      <c r="J16" s="13">
        <v>12.04441756561115</v>
      </c>
      <c r="K16" s="13">
        <v>26.955582434388852</v>
      </c>
      <c r="L16" s="13">
        <v>134.77791217194425</v>
      </c>
    </row>
    <row r="17" spans="1:12">
      <c r="A17" s="1">
        <v>20</v>
      </c>
      <c r="B17" s="3">
        <v>44328</v>
      </c>
      <c r="C17" s="10">
        <v>5</v>
      </c>
      <c r="D17" s="1">
        <v>195</v>
      </c>
      <c r="E17" t="s">
        <v>12</v>
      </c>
      <c r="F17" t="s">
        <v>36</v>
      </c>
      <c r="G17" s="1">
        <v>2021</v>
      </c>
      <c r="H17" t="s">
        <v>14</v>
      </c>
      <c r="I17">
        <v>39</v>
      </c>
      <c r="J17" s="13">
        <v>12.04441756561115</v>
      </c>
      <c r="K17" s="13">
        <v>26.955582434388852</v>
      </c>
      <c r="L17" s="13">
        <v>134.77791217194425</v>
      </c>
    </row>
    <row r="18" spans="1:12">
      <c r="A18" s="1">
        <v>22</v>
      </c>
      <c r="B18" s="3">
        <v>44390</v>
      </c>
      <c r="C18" s="10">
        <v>5</v>
      </c>
      <c r="D18" s="1">
        <v>195</v>
      </c>
      <c r="E18" t="s">
        <v>12</v>
      </c>
      <c r="F18" t="s">
        <v>38</v>
      </c>
      <c r="G18" s="1">
        <v>2021</v>
      </c>
      <c r="H18" t="s">
        <v>14</v>
      </c>
      <c r="I18">
        <v>39</v>
      </c>
      <c r="J18" s="13">
        <v>12.04441756561115</v>
      </c>
      <c r="K18" s="13">
        <v>26.955582434388852</v>
      </c>
      <c r="L18" s="13">
        <v>134.77791217194425</v>
      </c>
    </row>
    <row r="19" spans="1:12">
      <c r="A19" s="1">
        <v>23</v>
      </c>
      <c r="B19" s="3">
        <v>44453</v>
      </c>
      <c r="C19" s="10">
        <v>4</v>
      </c>
      <c r="D19" s="1">
        <v>156</v>
      </c>
      <c r="E19" t="s">
        <v>12</v>
      </c>
      <c r="F19" t="s">
        <v>39</v>
      </c>
      <c r="G19" s="1">
        <v>2021</v>
      </c>
      <c r="H19" t="s">
        <v>14</v>
      </c>
      <c r="I19">
        <v>39</v>
      </c>
      <c r="J19" s="13">
        <v>12.04441756561115</v>
      </c>
      <c r="K19" s="13">
        <v>26.955582434388852</v>
      </c>
      <c r="L19" s="13">
        <v>107.82232973755541</v>
      </c>
    </row>
    <row r="20" spans="1:12">
      <c r="A20" s="1">
        <v>25</v>
      </c>
      <c r="B20" s="3">
        <v>44512</v>
      </c>
      <c r="C20" s="10">
        <v>3</v>
      </c>
      <c r="D20" s="1">
        <v>117</v>
      </c>
      <c r="E20" t="s">
        <v>12</v>
      </c>
      <c r="F20" t="s">
        <v>41</v>
      </c>
      <c r="G20" s="1">
        <v>2021</v>
      </c>
      <c r="H20" t="s">
        <v>14</v>
      </c>
      <c r="I20">
        <v>39</v>
      </c>
      <c r="J20" s="13">
        <v>12.04441756561115</v>
      </c>
      <c r="K20" s="13">
        <v>26.955582434388852</v>
      </c>
      <c r="L20" s="13">
        <v>80.866747303166562</v>
      </c>
    </row>
    <row r="21" spans="1:12">
      <c r="A21" s="1">
        <v>26</v>
      </c>
      <c r="B21" s="3">
        <v>44576</v>
      </c>
      <c r="C21" s="10">
        <v>6</v>
      </c>
      <c r="D21" s="1">
        <v>234</v>
      </c>
      <c r="E21" t="s">
        <v>12</v>
      </c>
      <c r="F21" t="s">
        <v>42</v>
      </c>
      <c r="G21" s="1">
        <v>2021</v>
      </c>
      <c r="H21" t="s">
        <v>14</v>
      </c>
      <c r="I21">
        <v>39</v>
      </c>
      <c r="J21" s="13">
        <v>12.04441756561115</v>
      </c>
      <c r="K21" s="13">
        <v>26.955582434388852</v>
      </c>
      <c r="L21" s="13">
        <v>161.73349460633312</v>
      </c>
    </row>
    <row r="22" spans="1:12">
      <c r="A22" s="1">
        <v>27</v>
      </c>
      <c r="B22" s="3">
        <v>44632</v>
      </c>
      <c r="C22" s="10">
        <v>7</v>
      </c>
      <c r="D22" s="1">
        <v>273</v>
      </c>
      <c r="E22" t="s">
        <v>12</v>
      </c>
      <c r="F22" t="s">
        <v>43</v>
      </c>
      <c r="G22" s="1">
        <v>2022</v>
      </c>
      <c r="H22" t="s">
        <v>14</v>
      </c>
      <c r="I22">
        <v>39</v>
      </c>
      <c r="J22" s="13">
        <v>15.96</v>
      </c>
      <c r="K22" s="13">
        <v>23.04</v>
      </c>
      <c r="L22" s="13">
        <v>161.28</v>
      </c>
    </row>
    <row r="23" spans="1:12">
      <c r="A23" s="1">
        <v>28</v>
      </c>
      <c r="B23" s="3">
        <v>44687</v>
      </c>
      <c r="C23" s="10">
        <v>5</v>
      </c>
      <c r="D23" s="1">
        <v>210</v>
      </c>
      <c r="E23" t="s">
        <v>12</v>
      </c>
      <c r="F23" t="s">
        <v>44</v>
      </c>
      <c r="G23" s="1">
        <v>2022</v>
      </c>
      <c r="H23" t="s">
        <v>14</v>
      </c>
      <c r="I23">
        <v>42</v>
      </c>
      <c r="J23" s="13">
        <v>18.956837693187691</v>
      </c>
      <c r="K23" s="13">
        <v>23.043162306812309</v>
      </c>
      <c r="L23" s="13">
        <v>115.21581153406154</v>
      </c>
    </row>
    <row r="24" spans="1:12">
      <c r="A24" s="1">
        <v>30</v>
      </c>
      <c r="B24" s="3">
        <v>44755</v>
      </c>
      <c r="C24" s="10">
        <v>4</v>
      </c>
      <c r="D24" s="1">
        <v>168</v>
      </c>
      <c r="E24" t="s">
        <v>12</v>
      </c>
      <c r="F24" t="s">
        <v>46</v>
      </c>
      <c r="G24" s="1">
        <v>2022</v>
      </c>
      <c r="H24" t="s">
        <v>14</v>
      </c>
      <c r="I24">
        <v>42</v>
      </c>
      <c r="J24" s="13">
        <v>18.956837693187691</v>
      </c>
      <c r="K24" s="13">
        <v>23.043162306812309</v>
      </c>
      <c r="L24" s="13">
        <v>92.172649227249238</v>
      </c>
    </row>
    <row r="25" spans="1:12">
      <c r="A25" s="1">
        <v>31</v>
      </c>
      <c r="B25" s="3">
        <v>44813</v>
      </c>
      <c r="C25" s="10">
        <v>1</v>
      </c>
      <c r="D25" s="1">
        <v>42</v>
      </c>
      <c r="E25" t="s">
        <v>12</v>
      </c>
      <c r="F25" t="s">
        <v>47</v>
      </c>
      <c r="G25" s="1">
        <v>2022</v>
      </c>
      <c r="H25" t="s">
        <v>14</v>
      </c>
      <c r="I25">
        <v>42</v>
      </c>
      <c r="J25" s="13">
        <v>18.956837693187691</v>
      </c>
      <c r="K25" s="13">
        <v>23.043162306812309</v>
      </c>
      <c r="L25" s="13">
        <v>23.043162306812309</v>
      </c>
    </row>
    <row r="26" spans="1:12">
      <c r="A26" s="1">
        <v>32</v>
      </c>
      <c r="B26" s="3">
        <v>44872</v>
      </c>
      <c r="C26" s="10">
        <v>2.9988095238095238</v>
      </c>
      <c r="D26" s="1">
        <v>125.95</v>
      </c>
      <c r="E26" t="s">
        <v>12</v>
      </c>
      <c r="F26" t="s">
        <v>48</v>
      </c>
      <c r="G26" s="1">
        <v>2022</v>
      </c>
      <c r="H26" t="s">
        <v>14</v>
      </c>
      <c r="I26">
        <v>42</v>
      </c>
      <c r="J26" s="13">
        <v>18.956837693187691</v>
      </c>
      <c r="K26" s="13">
        <v>23.043162306812309</v>
      </c>
      <c r="L26" s="13">
        <v>69.10205458435739</v>
      </c>
    </row>
    <row r="27" spans="1:12">
      <c r="A27" s="1">
        <v>34</v>
      </c>
      <c r="B27" s="3">
        <v>44945</v>
      </c>
      <c r="C27" s="10">
        <v>4</v>
      </c>
      <c r="D27" s="1">
        <v>168</v>
      </c>
      <c r="E27" t="s">
        <v>12</v>
      </c>
      <c r="F27" t="s">
        <v>50</v>
      </c>
      <c r="G27" s="1">
        <v>2022</v>
      </c>
      <c r="H27" t="s">
        <v>14</v>
      </c>
      <c r="I27">
        <v>42</v>
      </c>
      <c r="J27" s="13">
        <v>18.956837693187691</v>
      </c>
      <c r="K27" s="13">
        <v>23.043162306812309</v>
      </c>
      <c r="L27" s="13">
        <v>92.172649227249238</v>
      </c>
    </row>
    <row r="28" spans="1:12">
      <c r="A28" s="1">
        <v>35</v>
      </c>
      <c r="B28" s="3">
        <v>44997</v>
      </c>
      <c r="C28" s="10">
        <v>4</v>
      </c>
      <c r="D28" s="1">
        <v>168</v>
      </c>
      <c r="E28" t="s">
        <v>12</v>
      </c>
      <c r="F28" t="s">
        <v>51</v>
      </c>
      <c r="G28" s="1">
        <v>2023</v>
      </c>
      <c r="H28" t="s">
        <v>14</v>
      </c>
      <c r="I28">
        <v>42</v>
      </c>
      <c r="J28" s="13">
        <v>17.81077428945607</v>
      </c>
      <c r="K28" s="13">
        <v>24.18922571054393</v>
      </c>
      <c r="L28" s="13">
        <v>96.75690284217572</v>
      </c>
    </row>
    <row r="29" spans="1:12">
      <c r="A29" s="1">
        <v>36</v>
      </c>
      <c r="B29" s="3">
        <v>45067</v>
      </c>
      <c r="C29" s="10">
        <v>5</v>
      </c>
      <c r="D29" s="1">
        <v>210</v>
      </c>
      <c r="E29" t="s">
        <v>12</v>
      </c>
      <c r="F29" t="s">
        <v>52</v>
      </c>
      <c r="G29" s="1">
        <v>2023</v>
      </c>
      <c r="H29" t="s">
        <v>14</v>
      </c>
      <c r="I29">
        <v>42</v>
      </c>
      <c r="J29" s="13">
        <v>17.81077428945607</v>
      </c>
      <c r="K29" s="13">
        <v>24.18922571054393</v>
      </c>
      <c r="L29" s="13">
        <v>120.94612855271964</v>
      </c>
    </row>
    <row r="30" spans="1:12">
      <c r="A30" s="1">
        <v>38</v>
      </c>
      <c r="B30" s="3">
        <v>45118</v>
      </c>
      <c r="C30" s="10">
        <v>2</v>
      </c>
      <c r="D30" s="1">
        <v>84</v>
      </c>
      <c r="E30" t="s">
        <v>12</v>
      </c>
      <c r="F30" t="s">
        <v>54</v>
      </c>
      <c r="G30" s="1">
        <v>2023</v>
      </c>
      <c r="H30" t="s">
        <v>14</v>
      </c>
      <c r="I30">
        <v>42</v>
      </c>
      <c r="J30" s="13">
        <v>17.81077428945607</v>
      </c>
      <c r="K30" s="13">
        <v>24.18922571054393</v>
      </c>
      <c r="L30" s="13">
        <v>48.37845142108786</v>
      </c>
    </row>
    <row r="31" spans="1:12">
      <c r="A31" s="1">
        <v>39</v>
      </c>
      <c r="B31" s="3">
        <v>45183</v>
      </c>
      <c r="C31" s="10">
        <v>1</v>
      </c>
      <c r="D31" s="1">
        <v>42</v>
      </c>
      <c r="E31" t="s">
        <v>12</v>
      </c>
      <c r="F31" t="s">
        <v>55</v>
      </c>
      <c r="G31" s="1">
        <v>2023</v>
      </c>
      <c r="H31" t="s">
        <v>14</v>
      </c>
      <c r="I31">
        <v>42</v>
      </c>
      <c r="J31" s="13">
        <v>17.81077428945607</v>
      </c>
      <c r="K31" s="13">
        <v>24.18922571054393</v>
      </c>
      <c r="L31" s="13">
        <v>24.18922571054393</v>
      </c>
    </row>
    <row r="32" spans="1:12">
      <c r="A32" s="1">
        <v>40</v>
      </c>
      <c r="B32" s="3">
        <v>45241</v>
      </c>
      <c r="C32" s="10">
        <v>2</v>
      </c>
      <c r="D32" s="1">
        <v>84</v>
      </c>
      <c r="E32" t="s">
        <v>12</v>
      </c>
      <c r="F32" t="s">
        <v>56</v>
      </c>
      <c r="G32" s="1">
        <v>2023</v>
      </c>
      <c r="H32" t="s">
        <v>14</v>
      </c>
      <c r="I32">
        <v>42</v>
      </c>
      <c r="J32" s="13">
        <v>17.81077428945607</v>
      </c>
      <c r="K32" s="13">
        <v>24.18922571054393</v>
      </c>
      <c r="L32" s="13">
        <v>48.37845142108786</v>
      </c>
    </row>
    <row r="33" spans="1:12">
      <c r="A33" s="1">
        <v>42</v>
      </c>
      <c r="B33" s="3">
        <v>45302</v>
      </c>
      <c r="C33" s="10">
        <v>4</v>
      </c>
      <c r="D33" s="1">
        <v>168</v>
      </c>
      <c r="E33" t="s">
        <v>12</v>
      </c>
      <c r="F33" t="s">
        <v>58</v>
      </c>
      <c r="G33" s="1">
        <v>2023</v>
      </c>
      <c r="H33" t="s">
        <v>14</v>
      </c>
      <c r="I33">
        <v>42</v>
      </c>
      <c r="J33" s="13">
        <v>17.81077428945607</v>
      </c>
      <c r="K33" s="13">
        <v>24.18922571054393</v>
      </c>
      <c r="L33" s="13">
        <v>96.75690284217572</v>
      </c>
    </row>
    <row r="34" spans="1:12">
      <c r="A34" s="1">
        <v>43</v>
      </c>
      <c r="B34" s="3">
        <v>45364</v>
      </c>
      <c r="C34" s="10">
        <v>4</v>
      </c>
      <c r="D34" s="1">
        <v>168</v>
      </c>
      <c r="E34" t="s">
        <v>12</v>
      </c>
      <c r="F34" t="s">
        <v>59</v>
      </c>
      <c r="G34" s="1">
        <v>2024</v>
      </c>
      <c r="H34" t="s">
        <v>14</v>
      </c>
      <c r="I34">
        <v>42</v>
      </c>
      <c r="J34" s="13">
        <v>17.951184049385969</v>
      </c>
      <c r="K34" s="13">
        <v>24.048815950614031</v>
      </c>
      <c r="L34" s="13">
        <v>96.195263802456125</v>
      </c>
    </row>
    <row r="35" spans="1:12">
      <c r="A35" s="1">
        <v>44</v>
      </c>
      <c r="B35" s="3">
        <v>45430</v>
      </c>
      <c r="C35" s="10">
        <v>5</v>
      </c>
      <c r="D35" s="1">
        <v>210</v>
      </c>
      <c r="E35" t="s">
        <v>12</v>
      </c>
      <c r="F35" t="s">
        <v>60</v>
      </c>
      <c r="G35" s="1">
        <v>2024</v>
      </c>
      <c r="H35" t="s">
        <v>14</v>
      </c>
      <c r="I35">
        <v>42</v>
      </c>
      <c r="J35" s="13">
        <v>17.951184049385969</v>
      </c>
      <c r="K35" s="13">
        <v>24.048815950614031</v>
      </c>
      <c r="L35" s="13">
        <v>120.24407975307015</v>
      </c>
    </row>
    <row r="36" spans="1:12">
      <c r="A36" s="1">
        <v>46</v>
      </c>
      <c r="B36" s="3">
        <v>45489</v>
      </c>
      <c r="C36" s="10">
        <v>3</v>
      </c>
      <c r="D36" s="1">
        <v>126</v>
      </c>
      <c r="E36" t="s">
        <v>12</v>
      </c>
      <c r="F36" t="s">
        <v>62</v>
      </c>
      <c r="G36" s="1">
        <v>2024</v>
      </c>
      <c r="H36" t="s">
        <v>14</v>
      </c>
      <c r="I36">
        <v>42</v>
      </c>
      <c r="J36" s="13">
        <v>17.951184049385969</v>
      </c>
      <c r="K36" s="13">
        <v>24.048815950614031</v>
      </c>
      <c r="L36" s="13">
        <v>72.146447851842098</v>
      </c>
    </row>
    <row r="37" spans="1:12">
      <c r="A37" s="1">
        <v>47</v>
      </c>
      <c r="B37" s="43" t="s">
        <v>90</v>
      </c>
      <c r="C37" s="23">
        <f t="shared" ref="C37:C46" si="0">D37/42</f>
        <v>2</v>
      </c>
      <c r="D37" s="24">
        <v>84</v>
      </c>
      <c r="E37" s="25" t="s">
        <v>91</v>
      </c>
      <c r="F37" s="25" t="s">
        <v>80</v>
      </c>
      <c r="G37" s="24">
        <v>2024</v>
      </c>
      <c r="H37" s="31" t="s">
        <v>97</v>
      </c>
      <c r="I37">
        <v>42</v>
      </c>
      <c r="J37" s="12"/>
    </row>
    <row r="38" spans="1:12">
      <c r="A38" s="1">
        <v>48</v>
      </c>
      <c r="B38" s="43"/>
      <c r="C38" s="23">
        <f t="shared" si="0"/>
        <v>2</v>
      </c>
      <c r="D38" s="24">
        <v>84</v>
      </c>
      <c r="E38" s="25" t="s">
        <v>91</v>
      </c>
      <c r="F38" s="25" t="s">
        <v>81</v>
      </c>
      <c r="G38" s="24">
        <v>2024</v>
      </c>
      <c r="H38" s="31" t="s">
        <v>97</v>
      </c>
      <c r="I38">
        <v>42</v>
      </c>
      <c r="J38" s="12"/>
    </row>
    <row r="39" spans="1:12">
      <c r="A39" s="1">
        <v>49</v>
      </c>
      <c r="B39" s="43"/>
      <c r="C39" s="23">
        <f t="shared" si="0"/>
        <v>3</v>
      </c>
      <c r="D39" s="24">
        <v>126</v>
      </c>
      <c r="E39" s="25" t="s">
        <v>91</v>
      </c>
      <c r="F39" s="25" t="s">
        <v>82</v>
      </c>
      <c r="G39" s="24">
        <v>2024</v>
      </c>
      <c r="H39" s="31" t="s">
        <v>97</v>
      </c>
      <c r="I39">
        <v>42</v>
      </c>
      <c r="J39" s="12"/>
    </row>
    <row r="40" spans="1:12">
      <c r="A40" s="1">
        <v>51</v>
      </c>
      <c r="B40" s="26"/>
      <c r="C40" s="27">
        <f t="shared" si="0"/>
        <v>3</v>
      </c>
      <c r="D40" s="28">
        <v>126</v>
      </c>
      <c r="E40" s="29" t="s">
        <v>91</v>
      </c>
      <c r="F40" s="29" t="s">
        <v>83</v>
      </c>
      <c r="G40" s="28">
        <v>2025</v>
      </c>
      <c r="H40" s="31" t="s">
        <v>97</v>
      </c>
      <c r="I40">
        <v>42</v>
      </c>
      <c r="J40" s="12"/>
    </row>
    <row r="41" spans="1:12">
      <c r="A41" s="1">
        <v>52</v>
      </c>
      <c r="B41" s="26"/>
      <c r="C41" s="27">
        <f t="shared" si="0"/>
        <v>3</v>
      </c>
      <c r="D41" s="28">
        <v>126</v>
      </c>
      <c r="E41" s="29" t="s">
        <v>91</v>
      </c>
      <c r="F41" s="29" t="s">
        <v>84</v>
      </c>
      <c r="G41" s="28">
        <v>2025</v>
      </c>
      <c r="H41" s="31" t="s">
        <v>97</v>
      </c>
      <c r="I41">
        <v>42</v>
      </c>
      <c r="J41" s="12"/>
    </row>
    <row r="42" spans="1:12">
      <c r="A42" s="1">
        <v>53</v>
      </c>
      <c r="B42" s="26"/>
      <c r="C42" s="27">
        <f t="shared" si="0"/>
        <v>3</v>
      </c>
      <c r="D42" s="28">
        <v>126</v>
      </c>
      <c r="E42" s="29" t="s">
        <v>91</v>
      </c>
      <c r="F42" s="29" t="s">
        <v>85</v>
      </c>
      <c r="G42" s="28">
        <v>2025</v>
      </c>
      <c r="H42" s="31" t="s">
        <v>97</v>
      </c>
      <c r="I42">
        <v>42</v>
      </c>
      <c r="J42" s="12"/>
    </row>
    <row r="43" spans="1:12">
      <c r="A43" s="1">
        <v>55</v>
      </c>
      <c r="B43" s="26"/>
      <c r="C43" s="27">
        <f t="shared" si="0"/>
        <v>2</v>
      </c>
      <c r="D43" s="28">
        <v>84</v>
      </c>
      <c r="E43" s="29" t="s">
        <v>91</v>
      </c>
      <c r="F43" s="29" t="s">
        <v>86</v>
      </c>
      <c r="G43" s="28">
        <v>2025</v>
      </c>
      <c r="H43" s="31" t="s">
        <v>97</v>
      </c>
      <c r="I43">
        <v>42</v>
      </c>
      <c r="J43" s="12"/>
    </row>
    <row r="44" spans="1:12">
      <c r="A44" s="1">
        <v>56</v>
      </c>
      <c r="B44" s="26"/>
      <c r="C44" s="27">
        <f t="shared" si="0"/>
        <v>2</v>
      </c>
      <c r="D44" s="28">
        <v>84</v>
      </c>
      <c r="E44" s="29" t="s">
        <v>91</v>
      </c>
      <c r="F44" s="29" t="s">
        <v>87</v>
      </c>
      <c r="G44" s="28">
        <v>2025</v>
      </c>
      <c r="H44" s="31" t="s">
        <v>97</v>
      </c>
      <c r="I44">
        <v>42</v>
      </c>
      <c r="J44" s="12"/>
    </row>
    <row r="45" spans="1:12">
      <c r="A45" s="1">
        <v>57</v>
      </c>
      <c r="B45" s="26"/>
      <c r="C45" s="27">
        <f t="shared" si="0"/>
        <v>3</v>
      </c>
      <c r="D45" s="28">
        <v>126</v>
      </c>
      <c r="E45" s="29" t="s">
        <v>91</v>
      </c>
      <c r="F45" s="30" t="s">
        <v>88</v>
      </c>
      <c r="G45" s="28">
        <v>2025</v>
      </c>
      <c r="H45" s="31" t="s">
        <v>97</v>
      </c>
      <c r="I45">
        <v>42</v>
      </c>
      <c r="J45" s="12"/>
    </row>
    <row r="46" spans="1:12">
      <c r="A46" s="1">
        <v>59</v>
      </c>
      <c r="B46" s="26"/>
      <c r="C46" s="27">
        <f t="shared" si="0"/>
        <v>4</v>
      </c>
      <c r="D46" s="28">
        <v>168</v>
      </c>
      <c r="E46" s="29" t="s">
        <v>91</v>
      </c>
      <c r="F46" s="32" t="s">
        <v>89</v>
      </c>
      <c r="G46" s="28">
        <v>2026</v>
      </c>
      <c r="H46" s="31" t="s">
        <v>97</v>
      </c>
      <c r="I46">
        <v>42</v>
      </c>
      <c r="J46" s="12"/>
    </row>
  </sheetData>
  <mergeCells count="1">
    <mergeCell ref="B37:B39"/>
  </mergeCells>
  <phoneticPr fontId="1" type="noConversion"/>
  <dataValidations count="1">
    <dataValidation type="list" allowBlank="1" showInputMessage="1" showErrorMessage="1" sqref="E1:E36" xr:uid="{087338E9-CE87-4E00-A58D-3D329EDF5CF1}">
      <formula1>$L$4:$L$5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selection activeCell="C20" sqref="C20"/>
    </sheetView>
  </sheetViews>
  <sheetFormatPr defaultRowHeight="14.1"/>
  <cols>
    <col min="2" max="2" width="12.94921875" customWidth="1"/>
  </cols>
  <sheetData>
    <row r="1" spans="1:10" ht="28.2">
      <c r="A1" s="15" t="s">
        <v>0</v>
      </c>
      <c r="B1" s="16" t="s">
        <v>1</v>
      </c>
      <c r="C1" s="17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10">
      <c r="A2" s="1">
        <v>2</v>
      </c>
      <c r="B2" s="3">
        <v>43468</v>
      </c>
      <c r="C2" s="10"/>
      <c r="D2" s="1">
        <v>875.4</v>
      </c>
      <c r="E2" t="s">
        <v>15</v>
      </c>
      <c r="F2" t="s">
        <v>16</v>
      </c>
      <c r="G2" s="1">
        <v>2019</v>
      </c>
      <c r="H2" t="s">
        <v>17</v>
      </c>
    </row>
    <row r="3" spans="1:10">
      <c r="A3" s="1">
        <v>8</v>
      </c>
      <c r="B3" s="3">
        <v>43782</v>
      </c>
      <c r="C3" s="10"/>
      <c r="D3" s="1">
        <v>875.4</v>
      </c>
      <c r="E3" t="s">
        <v>15</v>
      </c>
      <c r="F3" t="s">
        <v>23</v>
      </c>
      <c r="G3" s="1">
        <v>2019</v>
      </c>
      <c r="H3" t="s">
        <v>24</v>
      </c>
    </row>
    <row r="4" spans="1:10">
      <c r="A4" s="1">
        <v>12</v>
      </c>
      <c r="B4" s="3">
        <v>43930</v>
      </c>
      <c r="C4" s="10"/>
      <c r="D4" s="1">
        <v>875.4</v>
      </c>
      <c r="E4" t="s">
        <v>15</v>
      </c>
      <c r="F4" t="s">
        <v>28</v>
      </c>
      <c r="G4" s="1">
        <v>2020</v>
      </c>
      <c r="H4" t="s">
        <v>24</v>
      </c>
    </row>
    <row r="5" spans="1:10">
      <c r="A5" s="1">
        <v>17</v>
      </c>
      <c r="B5" s="3">
        <v>44146</v>
      </c>
      <c r="C5" s="10"/>
      <c r="D5" s="1">
        <v>875.4</v>
      </c>
      <c r="E5" t="s">
        <v>15</v>
      </c>
      <c r="F5" t="s">
        <v>33</v>
      </c>
      <c r="G5" s="1">
        <v>2020</v>
      </c>
      <c r="H5" t="s">
        <v>24</v>
      </c>
    </row>
    <row r="6" spans="1:10">
      <c r="A6" s="1">
        <v>21</v>
      </c>
      <c r="B6" s="3">
        <v>44338</v>
      </c>
      <c r="C6" s="10"/>
      <c r="D6" s="1">
        <v>875.4</v>
      </c>
      <c r="E6" t="s">
        <v>15</v>
      </c>
      <c r="F6" t="s">
        <v>37</v>
      </c>
      <c r="G6" s="1">
        <v>2021</v>
      </c>
      <c r="H6" t="s">
        <v>24</v>
      </c>
    </row>
    <row r="7" spans="1:10">
      <c r="A7" s="1">
        <v>24</v>
      </c>
      <c r="B7" s="3">
        <v>44512</v>
      </c>
      <c r="C7" s="10"/>
      <c r="D7" s="1">
        <v>875.4</v>
      </c>
      <c r="E7" t="s">
        <v>15</v>
      </c>
      <c r="F7" t="s">
        <v>40</v>
      </c>
      <c r="G7" s="1">
        <v>2021</v>
      </c>
      <c r="H7" t="s">
        <v>24</v>
      </c>
    </row>
    <row r="8" spans="1:10">
      <c r="A8" s="1">
        <v>29</v>
      </c>
      <c r="B8" s="3">
        <v>44723</v>
      </c>
      <c r="C8" s="10"/>
      <c r="D8" s="1">
        <v>875.4</v>
      </c>
      <c r="E8" t="s">
        <v>15</v>
      </c>
      <c r="F8" t="s">
        <v>45</v>
      </c>
      <c r="G8" s="1">
        <v>2022</v>
      </c>
      <c r="H8" t="s">
        <v>24</v>
      </c>
    </row>
    <row r="9" spans="1:10">
      <c r="A9" s="1">
        <v>33</v>
      </c>
      <c r="B9" s="3">
        <v>44872</v>
      </c>
      <c r="C9" s="10"/>
      <c r="D9" s="1">
        <v>875.32</v>
      </c>
      <c r="E9" t="s">
        <v>15</v>
      </c>
      <c r="F9" t="s">
        <v>49</v>
      </c>
      <c r="G9" s="1">
        <v>2022</v>
      </c>
      <c r="H9" t="s">
        <v>24</v>
      </c>
    </row>
    <row r="10" spans="1:10">
      <c r="A10" s="1">
        <v>37</v>
      </c>
      <c r="B10" s="3">
        <v>45089</v>
      </c>
      <c r="C10" s="10"/>
      <c r="D10" s="1">
        <v>875.4</v>
      </c>
      <c r="E10" t="s">
        <v>15</v>
      </c>
      <c r="F10" t="s">
        <v>53</v>
      </c>
      <c r="G10" s="1">
        <v>2023</v>
      </c>
      <c r="H10" t="s">
        <v>24</v>
      </c>
    </row>
    <row r="11" spans="1:10">
      <c r="A11" s="1">
        <v>41</v>
      </c>
      <c r="B11" s="3">
        <v>45241</v>
      </c>
      <c r="C11" s="10"/>
      <c r="D11" s="1">
        <v>875.4</v>
      </c>
      <c r="E11" t="s">
        <v>15</v>
      </c>
      <c r="F11" t="s">
        <v>57</v>
      </c>
      <c r="G11" s="1">
        <v>2023</v>
      </c>
      <c r="H11" t="s">
        <v>24</v>
      </c>
    </row>
    <row r="12" spans="1:10">
      <c r="A12" s="1">
        <v>45</v>
      </c>
      <c r="B12" s="3">
        <v>45430</v>
      </c>
      <c r="C12" s="10"/>
      <c r="D12" s="1">
        <v>924.3</v>
      </c>
      <c r="E12" t="s">
        <v>15</v>
      </c>
      <c r="F12" t="s">
        <v>61</v>
      </c>
      <c r="G12" s="1">
        <v>2024</v>
      </c>
      <c r="H12" t="s">
        <v>24</v>
      </c>
    </row>
    <row r="13" spans="1:10">
      <c r="A13" s="1">
        <v>50</v>
      </c>
      <c r="B13" s="26"/>
      <c r="C13" s="27"/>
      <c r="D13" s="28">
        <v>972.90000000000009</v>
      </c>
      <c r="E13" s="29" t="s">
        <v>92</v>
      </c>
      <c r="F13" s="29" t="s">
        <v>93</v>
      </c>
      <c r="G13" s="28">
        <v>2024</v>
      </c>
      <c r="H13" s="31" t="s">
        <v>97</v>
      </c>
      <c r="I13" s="12"/>
      <c r="J13" s="12"/>
    </row>
    <row r="14" spans="1:10">
      <c r="A14" s="1">
        <v>54</v>
      </c>
      <c r="B14" s="26"/>
      <c r="C14" s="27"/>
      <c r="D14" s="28">
        <v>875.61</v>
      </c>
      <c r="E14" s="29" t="s">
        <v>92</v>
      </c>
      <c r="F14" s="29" t="s">
        <v>94</v>
      </c>
      <c r="G14" s="28">
        <v>2025</v>
      </c>
      <c r="H14" s="31" t="s">
        <v>97</v>
      </c>
      <c r="I14" s="12"/>
      <c r="J14" s="12"/>
    </row>
    <row r="15" spans="1:10">
      <c r="A15" s="1">
        <v>58</v>
      </c>
      <c r="B15" s="26"/>
      <c r="C15" s="27"/>
      <c r="D15" s="28">
        <v>875.61</v>
      </c>
      <c r="E15" s="29" t="s">
        <v>92</v>
      </c>
      <c r="F15" s="29" t="s">
        <v>95</v>
      </c>
      <c r="G15" s="28">
        <v>2025</v>
      </c>
      <c r="H15" s="31" t="s">
        <v>97</v>
      </c>
      <c r="I15" s="12"/>
      <c r="J15" s="12"/>
    </row>
    <row r="16" spans="1:10">
      <c r="A16" s="1">
        <v>60</v>
      </c>
      <c r="B16" s="3"/>
      <c r="C16" s="10"/>
      <c r="D16" s="1">
        <v>583.74</v>
      </c>
      <c r="E16" s="12" t="s">
        <v>92</v>
      </c>
      <c r="F16" s="12" t="s">
        <v>96</v>
      </c>
      <c r="G16" s="1">
        <v>2026</v>
      </c>
      <c r="H16" s="34" t="s">
        <v>111</v>
      </c>
      <c r="I16" s="12"/>
      <c r="J16" s="12"/>
    </row>
  </sheetData>
  <phoneticPr fontId="1" type="noConversion"/>
  <dataValidations count="1">
    <dataValidation type="list" allowBlank="1" showInputMessage="1" showErrorMessage="1" sqref="E1:E12" xr:uid="{3BE1C866-31F6-457E-8524-D97CD7D4D7DC}">
      <formula1>#REF!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明细</vt:lpstr>
      <vt:lpstr>热水费明细</vt:lpstr>
      <vt:lpstr>物业费明细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小妍 刘</dc:creator>
  <cp:lastModifiedBy>小妍 刘</cp:lastModifiedBy>
  <dcterms:created xsi:type="dcterms:W3CDTF">2026-05-16T02:11:47Z</dcterms:created>
  <dcterms:modified xsi:type="dcterms:W3CDTF">2026-05-16T09:47:51Z</dcterms:modified>
</cp:coreProperties>
</file>